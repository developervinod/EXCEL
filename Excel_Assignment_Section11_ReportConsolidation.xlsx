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149ADCBB-BF90-4FC3-8989-59B5FDC476FE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Cover" sheetId="1" r:id="rId1"/>
    <sheet name="JanSales" sheetId="2" r:id="rId2"/>
    <sheet name="FebSales" sheetId="3" r:id="rId3"/>
    <sheet name="MarSales" sheetId="4" r:id="rId4"/>
    <sheet name="1. Multi-Sheet SUM Trick" sheetId="5" r:id="rId5"/>
    <sheet name="East Region" sheetId="6" r:id="rId6"/>
    <sheet name="West Region" sheetId="7" r:id="rId7"/>
    <sheet name="South Region" sheetId="8" r:id="rId8"/>
    <sheet name="Central Region" sheetId="9" r:id="rId9"/>
    <sheet name="2. Consolidate Feature" sheetId="10" r:id="rId10"/>
    <sheet name="3. SUBTOTAL Feature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11" l="1"/>
  <c r="C30" i="11"/>
  <c r="C29" i="11"/>
  <c r="C28" i="11"/>
  <c r="C27" i="11"/>
  <c r="C23" i="11"/>
  <c r="C22" i="11"/>
  <c r="C16" i="11"/>
  <c r="C10" i="11"/>
  <c r="C8" i="10"/>
  <c r="B8" i="10"/>
  <c r="C7" i="10"/>
  <c r="B7" i="10"/>
  <c r="C6" i="10"/>
  <c r="C9" i="10" s="1"/>
  <c r="B6" i="10"/>
  <c r="B9" i="10" s="1"/>
  <c r="F19" i="5"/>
  <c r="D19" i="5"/>
  <c r="C19" i="5"/>
  <c r="B19" i="5"/>
  <c r="E19" i="5" s="1"/>
  <c r="G19" i="5" s="1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</calcChain>
</file>

<file path=xl/sharedStrings.xml><?xml version="1.0" encoding="utf-8"?>
<sst xmlns="http://schemas.openxmlformats.org/spreadsheetml/2006/main" count="163" uniqueCount="75">
  <si>
    <t>Excel Practical Assignment — Section 11: Report Consolidation</t>
  </si>
  <si>
    <t>Dataset used: Superstore Sales (Orders sheet), split across several monthly/regional sheets</t>
  </si>
  <si>
    <t>Sheets in this workbook:</t>
  </si>
  <si>
    <t>JanSales/FebSales/MarSales -&gt; Three identically-laid-out monthly sheets, source data for Part 1</t>
  </si>
  <si>
    <t>1. Multi-Sheet SUM Trick -&gt; 3D-reference SUM/AVERAGE/COUNT across the 3 monthly sheets, plus a</t>
  </si>
  <si>
    <t xml:space="preserve">   manual verification check and an explanation of the technique</t>
  </si>
  <si>
    <t>East/West/South/Central Region -&gt; Four regional sheets (Sales &amp; Profit by Category, each in a</t>
  </si>
  <si>
    <t xml:space="preserve">   different row order), source data for Part 2</t>
  </si>
  <si>
    <t>2. Consolidate Feature -&gt; A label-based consolidated summary (via SUMIF, mirroring Data &gt; Consolidate)</t>
  </si>
  <si>
    <t xml:space="preserve">   combining all 4 regions for both Sales and Profit, with a Grand Total</t>
  </si>
  <si>
    <t>3. SUBTOTAL Feature -&gt; A dataset grouped by Category with SUBTOTAL(9,...) subtotal rows and a Grand</t>
  </si>
  <si>
    <t xml:space="preserve">   Total, plus a comparison of SUM/AVERAGE/COUNT/MAX/MIN via different SUBTOTAL function codes</t>
  </si>
  <si>
    <t>JanSales — monthly sales by product (same layout as the other two month sheets)</t>
  </si>
  <si>
    <t>Product Name</t>
  </si>
  <si>
    <t>Sales</t>
  </si>
  <si>
    <t>Bush Somerset Collection Boo</t>
  </si>
  <si>
    <t>Hon Deluxe Fabric Upholstere</t>
  </si>
  <si>
    <t>Self-Adhesive Address Labels</t>
  </si>
  <si>
    <t xml:space="preserve">Bretford CR4500 Series Slim </t>
  </si>
  <si>
    <t>Eldon Fold 'N Roll Cart Syst</t>
  </si>
  <si>
    <t>Eldon Expressions Wood and P</t>
  </si>
  <si>
    <t>Newell 322</t>
  </si>
  <si>
    <t>Mitel 5320 IP Phone VoIP pho</t>
  </si>
  <si>
    <t xml:space="preserve">DXL Angle-View Binders with </t>
  </si>
  <si>
    <t>Belkin F5C206VTEL 6 Outlet S</t>
  </si>
  <si>
    <t>FebSales — monthly sales by product (same layout as the other two month sheets)</t>
  </si>
  <si>
    <t>MarSales — monthly sales by product (same layout as the other two month sheets)</t>
  </si>
  <si>
    <t>Section 11.1 — Hidden Trick of Consolidation: Using SUM Across Multiple Sheets</t>
  </si>
  <si>
    <t>Tasks 1-5: 3 monthly sheets, 3D-reference SUM, Different summary functions, Verify accuracy, Benefits</t>
  </si>
  <si>
    <t>Task 2-3: Consolidated totals using a 3D reference — SUM/AVERAGE/COUNT across JanSales:MarSales</t>
  </si>
  <si>
    <t>Q1 Total (SUM)</t>
  </si>
  <si>
    <t>Q1 Average (AVERAGE)</t>
  </si>
  <si>
    <t>Months Counted (COUNT)</t>
  </si>
  <si>
    <t>Task 4: Verify accuracy — manually re-add the three monthly values for one product and compare</t>
  </si>
  <si>
    <t>Product</t>
  </si>
  <si>
    <t>Jan</t>
  </si>
  <si>
    <t>Feb</t>
  </si>
  <si>
    <t>Mar</t>
  </si>
  <si>
    <t>Manual Sum (Jan+Feb+Mar)</t>
  </si>
  <si>
    <t>3D-Reference SUM (Task 2)</t>
  </si>
  <si>
    <t>Match?</t>
  </si>
  <si>
    <t>East Region — sales &amp; profit by category (categories may be listed in a different order per sheet)</t>
  </si>
  <si>
    <t>Category</t>
  </si>
  <si>
    <t>Profit</t>
  </si>
  <si>
    <t>Technology</t>
  </si>
  <si>
    <t>Office Supplies</t>
  </si>
  <si>
    <t>Furniture</t>
  </si>
  <si>
    <t>West Region — sales &amp; profit by category (categories may be listed in a different order per sheet)</t>
  </si>
  <si>
    <t>South Region — sales &amp; profit by category (categories may be listed in a different order per sheet)</t>
  </si>
  <si>
    <t>Central Region — sales &amp; profit by category (categories may be listed in a different order per sheet)</t>
  </si>
  <si>
    <t>Section 11.2 — Using the CONSOLIDATE Feature of Excel</t>
  </si>
  <si>
    <t>Tasks 1-5: Regional data across sheets, Consolidate to a summary, By category, Apply to Profit too, Benefits</t>
  </si>
  <si>
    <t>Task 2-3: Consolidated Summary — combines East/West/South/Central Region sheets BY CATEGORY LABEL, not by row position</t>
  </si>
  <si>
    <t>Consolidated Sales (Sum)</t>
  </si>
  <si>
    <t>Consolidated Profit (Sum)</t>
  </si>
  <si>
    <t>Grand Total</t>
  </si>
  <si>
    <t>Section 11.3 — Using the SUBTOTAL Feature of Excel (One Criterion: Category)</t>
  </si>
  <si>
    <t>Tasks 1-5: Dataset grouped by category, SUBTOTAL for Sum, Other SUBTOTAL functions, Filters + SUBTOTAL, Importance</t>
  </si>
  <si>
    <t>Chromcraft Rectangular Confe</t>
  </si>
  <si>
    <t>Furniture Subtotal</t>
  </si>
  <si>
    <t>Office Supplies Subtotal</t>
  </si>
  <si>
    <t>Konftel 250 Conference phone</t>
  </si>
  <si>
    <t>Cisco SPA 501G IP Phone</t>
  </si>
  <si>
    <t>Imation 8GB Mini TravelDrive</t>
  </si>
  <si>
    <t>GE 30524EE4</t>
  </si>
  <si>
    <t>Technology Subtotal</t>
  </si>
  <si>
    <t>Task 3: Different SUBTOTAL functions applied to the whole Sales column (Furniture group)</t>
  </si>
  <si>
    <t>SUBTOTAL Function Code</t>
  </si>
  <si>
    <t>Function</t>
  </si>
  <si>
    <t>Result (on Furniture Sales range)</t>
  </si>
  <si>
    <t>SUM</t>
  </si>
  <si>
    <t>AVERAGE</t>
  </si>
  <si>
    <t>COUNT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</si>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</sst>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0"/>
      <name val="Cambria"/>
      <charset val="1"/>
    </font>
    <font>
      <b/>
      <sz val="10.5"/>
      <name val="Cambria"/>
      <charset val="1"/>
    </font>
    <font>
      <b/>
      <sz val="11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0" fillId="3" borderId="1" xfId="0" applyFont="1" applyFill="1" applyBorder="1"/>
    <xf numFmtId="164" fontId="3" fillId="3" borderId="1" xfId="0" applyNumberFormat="1" applyFont="1" applyFill="1" applyBorder="1"/>
    <xf numFmtId="0" fontId="0" fillId="3" borderId="1" xfId="0" applyFill="1" applyBorder="1"/>
    <xf numFmtId="164" fontId="10" fillId="3" borderId="1" xfId="0" applyNumberFormat="1" applyFont="1" applyFill="1" applyBorder="1"/>
    <xf numFmtId="0" fontId="11" fillId="2" borderId="1" xfId="0" applyFont="1" applyFill="1" applyBorder="1"/>
    <xf numFmtId="164" fontId="1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5"/>
  <sheetViews>
    <sheetView tabSelected="1" zoomScaleNormal="100" workbookViewId="0">
      <selection activeCell="B25" sqref="B25"/>
    </sheetView>
  </sheetViews>
  <sheetFormatPr defaultColWidth="8.7109375" defaultRowHeight="15" x14ac:dyDescent="0.25"/>
  <cols>
    <col min="1" max="1" width="3" customWidth="1"/>
    <col min="2" max="2" width="105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 t="s">
        <v>10</v>
      </c>
    </row>
    <row r="15" spans="2:2" x14ac:dyDescent="0.25">
      <c r="B15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4" customWidth="1"/>
  </cols>
  <sheetData>
    <row r="1" spans="1:2" ht="18" x14ac:dyDescent="0.25">
      <c r="A1" s="5" t="s">
        <v>12</v>
      </c>
    </row>
    <row r="4" spans="1:2" x14ac:dyDescent="0.25">
      <c r="A4" s="6" t="s">
        <v>13</v>
      </c>
      <c r="B4" s="6" t="s">
        <v>14</v>
      </c>
    </row>
    <row r="5" spans="1:2" x14ac:dyDescent="0.25">
      <c r="A5" s="7" t="s">
        <v>15</v>
      </c>
      <c r="B5" s="8">
        <v>785.34</v>
      </c>
    </row>
    <row r="6" spans="1:2" x14ac:dyDescent="0.25">
      <c r="A6" s="7" t="s">
        <v>16</v>
      </c>
      <c r="B6" s="8">
        <v>78.760000000000005</v>
      </c>
    </row>
    <row r="7" spans="1:2" x14ac:dyDescent="0.25">
      <c r="A7" s="7" t="s">
        <v>17</v>
      </c>
      <c r="B7" s="8">
        <v>366.28</v>
      </c>
    </row>
    <row r="8" spans="1:2" x14ac:dyDescent="0.25">
      <c r="A8" s="7" t="s">
        <v>18</v>
      </c>
      <c r="B8" s="8">
        <v>306.69</v>
      </c>
    </row>
    <row r="9" spans="1:2" x14ac:dyDescent="0.25">
      <c r="A9" s="7" t="s">
        <v>19</v>
      </c>
      <c r="B9" s="8">
        <v>896.94</v>
      </c>
    </row>
    <row r="10" spans="1:2" x14ac:dyDescent="0.25">
      <c r="A10" s="7" t="s">
        <v>20</v>
      </c>
      <c r="B10" s="8">
        <v>828.2</v>
      </c>
    </row>
    <row r="11" spans="1:2" x14ac:dyDescent="0.25">
      <c r="A11" s="7" t="s">
        <v>21</v>
      </c>
      <c r="B11" s="8">
        <v>1076.01</v>
      </c>
    </row>
    <row r="12" spans="1:2" x14ac:dyDescent="0.25">
      <c r="A12" s="7" t="s">
        <v>22</v>
      </c>
      <c r="B12" s="8">
        <v>149.97999999999999</v>
      </c>
    </row>
    <row r="13" spans="1:2" x14ac:dyDescent="0.25">
      <c r="A13" s="7" t="s">
        <v>23</v>
      </c>
      <c r="B13" s="8">
        <v>535.21</v>
      </c>
    </row>
    <row r="14" spans="1:2" x14ac:dyDescent="0.25">
      <c r="A14" s="7" t="s">
        <v>24</v>
      </c>
      <c r="B14" s="8">
        <v>84.27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4" customWidth="1"/>
  </cols>
  <sheetData>
    <row r="1" spans="1:2" ht="18" x14ac:dyDescent="0.25">
      <c r="A1" s="5" t="s">
        <v>25</v>
      </c>
    </row>
    <row r="4" spans="1:2" x14ac:dyDescent="0.25">
      <c r="A4" s="6" t="s">
        <v>13</v>
      </c>
      <c r="B4" s="6" t="s">
        <v>14</v>
      </c>
    </row>
    <row r="5" spans="1:2" x14ac:dyDescent="0.25">
      <c r="A5" s="7" t="s">
        <v>15</v>
      </c>
      <c r="B5" s="8">
        <v>301.43</v>
      </c>
    </row>
    <row r="6" spans="1:2" x14ac:dyDescent="0.25">
      <c r="A6" s="7" t="s">
        <v>16</v>
      </c>
      <c r="B6" s="8">
        <v>631.16</v>
      </c>
    </row>
    <row r="7" spans="1:2" x14ac:dyDescent="0.25">
      <c r="A7" s="7" t="s">
        <v>17</v>
      </c>
      <c r="B7" s="8">
        <v>80.52</v>
      </c>
    </row>
    <row r="8" spans="1:2" x14ac:dyDescent="0.25">
      <c r="A8" s="7" t="s">
        <v>18</v>
      </c>
      <c r="B8" s="8">
        <v>278.66000000000003</v>
      </c>
    </row>
    <row r="9" spans="1:2" x14ac:dyDescent="0.25">
      <c r="A9" s="7" t="s">
        <v>19</v>
      </c>
      <c r="B9" s="8">
        <v>797.37</v>
      </c>
    </row>
    <row r="10" spans="1:2" x14ac:dyDescent="0.25">
      <c r="A10" s="7" t="s">
        <v>20</v>
      </c>
      <c r="B10" s="8">
        <v>676.68</v>
      </c>
    </row>
    <row r="11" spans="1:2" x14ac:dyDescent="0.25">
      <c r="A11" s="7" t="s">
        <v>21</v>
      </c>
      <c r="B11" s="8">
        <v>303.51</v>
      </c>
    </row>
    <row r="12" spans="1:2" x14ac:dyDescent="0.25">
      <c r="A12" s="7" t="s">
        <v>22</v>
      </c>
      <c r="B12" s="8">
        <v>727.66</v>
      </c>
    </row>
    <row r="13" spans="1:2" x14ac:dyDescent="0.25">
      <c r="A13" s="7" t="s">
        <v>23</v>
      </c>
      <c r="B13" s="8">
        <v>980.85</v>
      </c>
    </row>
    <row r="14" spans="1:2" x14ac:dyDescent="0.25">
      <c r="A14" s="7" t="s">
        <v>24</v>
      </c>
      <c r="B14" s="8">
        <v>57.47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4" customWidth="1"/>
  </cols>
  <sheetData>
    <row r="1" spans="1:2" ht="18" x14ac:dyDescent="0.25">
      <c r="A1" s="5" t="s">
        <v>26</v>
      </c>
    </row>
    <row r="4" spans="1:2" x14ac:dyDescent="0.25">
      <c r="A4" s="6" t="s">
        <v>13</v>
      </c>
      <c r="B4" s="6" t="s">
        <v>14</v>
      </c>
    </row>
    <row r="5" spans="1:2" x14ac:dyDescent="0.25">
      <c r="A5" s="7" t="s">
        <v>15</v>
      </c>
      <c r="B5" s="8">
        <v>976.69</v>
      </c>
    </row>
    <row r="6" spans="1:2" x14ac:dyDescent="0.25">
      <c r="A6" s="7" t="s">
        <v>16</v>
      </c>
      <c r="B6" s="8">
        <v>852.86</v>
      </c>
    </row>
    <row r="7" spans="1:2" x14ac:dyDescent="0.25">
      <c r="A7" s="7" t="s">
        <v>17</v>
      </c>
      <c r="B7" s="8">
        <v>441.29</v>
      </c>
    </row>
    <row r="8" spans="1:2" x14ac:dyDescent="0.25">
      <c r="A8" s="7" t="s">
        <v>18</v>
      </c>
      <c r="B8" s="8">
        <v>228.8</v>
      </c>
    </row>
    <row r="9" spans="1:2" x14ac:dyDescent="0.25">
      <c r="A9" s="7" t="s">
        <v>19</v>
      </c>
      <c r="B9" s="8">
        <v>1150.8</v>
      </c>
    </row>
    <row r="10" spans="1:2" x14ac:dyDescent="0.25">
      <c r="A10" s="7" t="s">
        <v>20</v>
      </c>
      <c r="B10" s="8">
        <v>437.08</v>
      </c>
    </row>
    <row r="11" spans="1:2" x14ac:dyDescent="0.25">
      <c r="A11" s="7" t="s">
        <v>21</v>
      </c>
      <c r="B11" s="8">
        <v>156.66</v>
      </c>
    </row>
    <row r="12" spans="1:2" x14ac:dyDescent="0.25">
      <c r="A12" s="7" t="s">
        <v>22</v>
      </c>
      <c r="B12" s="8">
        <v>161.22</v>
      </c>
    </row>
    <row r="13" spans="1:2" x14ac:dyDescent="0.25">
      <c r="A13" s="7" t="s">
        <v>23</v>
      </c>
      <c r="B13" s="8">
        <v>1024.6199999999999</v>
      </c>
    </row>
    <row r="14" spans="1:2" x14ac:dyDescent="0.25">
      <c r="A14" s="7" t="s">
        <v>24</v>
      </c>
      <c r="B14" s="8">
        <v>744.28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topLeftCell="A10" zoomScaleNormal="100" workbookViewId="0">
      <selection activeCell="E19" sqref="E19"/>
    </sheetView>
  </sheetViews>
  <sheetFormatPr defaultColWidth="8.7109375" defaultRowHeight="15" x14ac:dyDescent="0.25"/>
  <cols>
    <col min="1" max="1" width="24" customWidth="1"/>
    <col min="2" max="4" width="12" customWidth="1"/>
    <col min="5" max="6" width="20" customWidth="1"/>
    <col min="7" max="7" width="10" customWidth="1"/>
  </cols>
  <sheetData>
    <row r="1" spans="1:4" ht="18" x14ac:dyDescent="0.25">
      <c r="A1" s="5" t="s">
        <v>27</v>
      </c>
    </row>
    <row r="2" spans="1:4" x14ac:dyDescent="0.25">
      <c r="A2" s="9" t="s">
        <v>28</v>
      </c>
    </row>
    <row r="4" spans="1:4" x14ac:dyDescent="0.25">
      <c r="A4" s="10" t="s">
        <v>29</v>
      </c>
    </row>
    <row r="5" spans="1:4" ht="60" x14ac:dyDescent="0.25">
      <c r="A5" s="6" t="s">
        <v>13</v>
      </c>
      <c r="B5" s="6" t="s">
        <v>30</v>
      </c>
      <c r="C5" s="6" t="s">
        <v>31</v>
      </c>
      <c r="D5" s="6" t="s">
        <v>32</v>
      </c>
    </row>
    <row r="6" spans="1:4" x14ac:dyDescent="0.25">
      <c r="A6" s="7" t="s">
        <v>15</v>
      </c>
      <c r="B6" s="8">
        <f>SUM(JanSales:MarSales!B5:B5)</f>
        <v>2063.46</v>
      </c>
      <c r="C6" s="8">
        <f>AVERAGE(JanSales:MarSales!B5:B5)</f>
        <v>687.82</v>
      </c>
      <c r="D6" s="7">
        <f>COUNT(JanSales:MarSales!B5:B5)</f>
        <v>3</v>
      </c>
    </row>
    <row r="7" spans="1:4" x14ac:dyDescent="0.25">
      <c r="A7" s="7" t="s">
        <v>16</v>
      </c>
      <c r="B7" s="8">
        <f>SUM(JanSales:MarSales!B6:B6)</f>
        <v>1562.78</v>
      </c>
      <c r="C7" s="8">
        <f>AVERAGE(JanSales:MarSales!B6:B6)</f>
        <v>520.92666666666662</v>
      </c>
      <c r="D7" s="7">
        <f>COUNT(JanSales:MarSales!B6:B6)</f>
        <v>3</v>
      </c>
    </row>
    <row r="8" spans="1:4" x14ac:dyDescent="0.25">
      <c r="A8" s="7" t="s">
        <v>17</v>
      </c>
      <c r="B8" s="8">
        <f>SUM(JanSales:MarSales!B7:B7)</f>
        <v>888.08999999999992</v>
      </c>
      <c r="C8" s="8">
        <f>AVERAGE(JanSales:MarSales!B7:B7)</f>
        <v>296.02999999999997</v>
      </c>
      <c r="D8" s="7">
        <f>COUNT(JanSales:MarSales!B7:B7)</f>
        <v>3</v>
      </c>
    </row>
    <row r="9" spans="1:4" x14ac:dyDescent="0.25">
      <c r="A9" s="7" t="s">
        <v>18</v>
      </c>
      <c r="B9" s="8">
        <f>SUM(JanSales:MarSales!B8:B8)</f>
        <v>814.15000000000009</v>
      </c>
      <c r="C9" s="8">
        <f>AVERAGE(JanSales:MarSales!B8:B8)</f>
        <v>271.38333333333338</v>
      </c>
      <c r="D9" s="7">
        <f>COUNT(JanSales:MarSales!B8:B8)</f>
        <v>3</v>
      </c>
    </row>
    <row r="10" spans="1:4" x14ac:dyDescent="0.25">
      <c r="A10" s="7" t="s">
        <v>19</v>
      </c>
      <c r="B10" s="8">
        <f>SUM(JanSales:MarSales!B9:B9)</f>
        <v>2845.1099999999997</v>
      </c>
      <c r="C10" s="8">
        <f>AVERAGE(JanSales:MarSales!B9:B9)</f>
        <v>948.36999999999989</v>
      </c>
      <c r="D10" s="7">
        <f>COUNT(JanSales:MarSales!B9:B9)</f>
        <v>3</v>
      </c>
    </row>
    <row r="11" spans="1:4" x14ac:dyDescent="0.25">
      <c r="A11" s="7" t="s">
        <v>20</v>
      </c>
      <c r="B11" s="8">
        <f>SUM(JanSales:MarSales!B10:B10)</f>
        <v>1941.96</v>
      </c>
      <c r="C11" s="8">
        <f>AVERAGE(JanSales:MarSales!B10:B10)</f>
        <v>647.32000000000005</v>
      </c>
      <c r="D11" s="7">
        <f>COUNT(JanSales:MarSales!B10:B10)</f>
        <v>3</v>
      </c>
    </row>
    <row r="12" spans="1:4" x14ac:dyDescent="0.25">
      <c r="A12" s="7" t="s">
        <v>21</v>
      </c>
      <c r="B12" s="8">
        <f>SUM(JanSales:MarSales!B11:B11)</f>
        <v>1536.18</v>
      </c>
      <c r="C12" s="8">
        <f>AVERAGE(JanSales:MarSales!B11:B11)</f>
        <v>512.06000000000006</v>
      </c>
      <c r="D12" s="7">
        <f>COUNT(JanSales:MarSales!B11:B11)</f>
        <v>3</v>
      </c>
    </row>
    <row r="13" spans="1:4" x14ac:dyDescent="0.25">
      <c r="A13" s="7" t="s">
        <v>22</v>
      </c>
      <c r="B13" s="8">
        <f>SUM(JanSales:MarSales!B12:B12)</f>
        <v>1038.8599999999999</v>
      </c>
      <c r="C13" s="8">
        <f>AVERAGE(JanSales:MarSales!B12:B12)</f>
        <v>346.28666666666663</v>
      </c>
      <c r="D13" s="7">
        <f>COUNT(JanSales:MarSales!B12:B12)</f>
        <v>3</v>
      </c>
    </row>
    <row r="14" spans="1:4" x14ac:dyDescent="0.25">
      <c r="A14" s="7" t="s">
        <v>23</v>
      </c>
      <c r="B14" s="8">
        <f>SUM(JanSales:MarSales!B13:B13)</f>
        <v>2540.6799999999998</v>
      </c>
      <c r="C14" s="8">
        <f>AVERAGE(JanSales:MarSales!B13:B13)</f>
        <v>846.89333333333332</v>
      </c>
      <c r="D14" s="7">
        <f>COUNT(JanSales:MarSales!B13:B13)</f>
        <v>3</v>
      </c>
    </row>
    <row r="15" spans="1:4" x14ac:dyDescent="0.25">
      <c r="A15" s="7" t="s">
        <v>24</v>
      </c>
      <c r="B15" s="8">
        <f>SUM(JanSales:MarSales!B14:B14)</f>
        <v>886.02</v>
      </c>
      <c r="C15" s="8">
        <f>AVERAGE(JanSales:MarSales!B14:B14)</f>
        <v>295.33999999999997</v>
      </c>
      <c r="D15" s="7">
        <f>COUNT(JanSales:MarSales!B14:B14)</f>
        <v>3</v>
      </c>
    </row>
    <row r="17" spans="1:7" x14ac:dyDescent="0.25">
      <c r="A17" s="10" t="s">
        <v>33</v>
      </c>
    </row>
    <row r="18" spans="1:7" ht="30" x14ac:dyDescent="0.25">
      <c r="A18" s="6" t="s">
        <v>34</v>
      </c>
      <c r="B18" s="6" t="s">
        <v>35</v>
      </c>
      <c r="C18" s="6" t="s">
        <v>36</v>
      </c>
      <c r="D18" s="6" t="s">
        <v>37</v>
      </c>
      <c r="E18" s="6" t="s">
        <v>38</v>
      </c>
      <c r="F18" s="6" t="s">
        <v>39</v>
      </c>
      <c r="G18" s="6" t="s">
        <v>40</v>
      </c>
    </row>
    <row r="19" spans="1:7" x14ac:dyDescent="0.25">
      <c r="A19" s="7" t="s">
        <v>17</v>
      </c>
      <c r="B19" s="8">
        <f>JanSales!B7</f>
        <v>366.28</v>
      </c>
      <c r="C19" s="8">
        <f>FebSales!B7</f>
        <v>80.52</v>
      </c>
      <c r="D19" s="8">
        <f>MarSales!B7</f>
        <v>441.29</v>
      </c>
      <c r="E19" s="8">
        <f>B19+C19+D19</f>
        <v>888.08999999999992</v>
      </c>
      <c r="F19" s="8">
        <f>B8</f>
        <v>888.08999999999992</v>
      </c>
      <c r="G19" s="7" t="str">
        <f>IF(ROUND(E19,2)=ROUND(F19,2),"Match","Check")</f>
        <v>Match</v>
      </c>
    </row>
    <row r="21" spans="1:7" x14ac:dyDescent="0.25">
      <c r="A21" s="11"/>
    </row>
    <row r="22" spans="1:7" x14ac:dyDescent="0.25">
      <c r="A22" s="9"/>
    </row>
    <row r="23" spans="1:7" x14ac:dyDescent="0.25">
      <c r="A23" s="9"/>
    </row>
    <row r="24" spans="1:7" x14ac:dyDescent="0.25">
      <c r="A24" s="9"/>
    </row>
    <row r="25" spans="1:7" x14ac:dyDescent="0.25">
      <c r="A25" s="9"/>
    </row>
    <row r="26" spans="1:7" x14ac:dyDescent="0.25">
      <c r="A26" s="9"/>
    </row>
    <row r="27" spans="1:7" x14ac:dyDescent="0.25">
      <c r="A27" s="9"/>
    </row>
    <row r="28" spans="1:7" x14ac:dyDescent="0.25">
      <c r="A28" s="9"/>
    </row>
    <row r="29" spans="1:7" x14ac:dyDescent="0.25">
      <c r="A29" s="9"/>
    </row>
    <row r="30" spans="1:7" x14ac:dyDescent="0.25">
      <c r="A30" s="9"/>
    </row>
    <row r="31" spans="1:7" x14ac:dyDescent="0.25">
      <c r="A31" s="9"/>
    </row>
    <row r="32" spans="1:7" x14ac:dyDescent="0.25">
      <c r="A32" s="9"/>
    </row>
    <row r="33" spans="1:1" x14ac:dyDescent="0.25">
      <c r="A33" s="9"/>
    </row>
    <row r="34" spans="1:1" x14ac:dyDescent="0.25">
      <c r="A3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zoomScaleNormal="100" workbookViewId="0"/>
  </sheetViews>
  <sheetFormatPr defaultColWidth="8.7109375" defaultRowHeight="15" x14ac:dyDescent="0.25"/>
  <cols>
    <col min="1" max="1" width="18" customWidth="1"/>
    <col min="2" max="3" width="14" customWidth="1"/>
  </cols>
  <sheetData>
    <row r="1" spans="1:3" ht="18" x14ac:dyDescent="0.25">
      <c r="A1" s="5" t="s">
        <v>41</v>
      </c>
    </row>
    <row r="4" spans="1:3" x14ac:dyDescent="0.25">
      <c r="A4" s="6" t="s">
        <v>42</v>
      </c>
      <c r="B4" s="6" t="s">
        <v>14</v>
      </c>
      <c r="C4" s="6" t="s">
        <v>43</v>
      </c>
    </row>
    <row r="5" spans="1:3" x14ac:dyDescent="0.25">
      <c r="A5" s="7" t="s">
        <v>44</v>
      </c>
      <c r="B5" s="8">
        <v>5753.6</v>
      </c>
      <c r="C5" s="8">
        <v>1407.46</v>
      </c>
    </row>
    <row r="6" spans="1:3" x14ac:dyDescent="0.25">
      <c r="A6" s="7" t="s">
        <v>45</v>
      </c>
      <c r="B6" s="8">
        <v>4649.74</v>
      </c>
      <c r="C6" s="8">
        <v>745.86</v>
      </c>
    </row>
    <row r="7" spans="1:3" x14ac:dyDescent="0.25">
      <c r="A7" s="7" t="s">
        <v>46</v>
      </c>
      <c r="B7" s="8">
        <v>7805.83</v>
      </c>
      <c r="C7" s="8">
        <v>1355.9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Normal="100" workbookViewId="0"/>
  </sheetViews>
  <sheetFormatPr defaultColWidth="8.7109375" defaultRowHeight="15" x14ac:dyDescent="0.25"/>
  <cols>
    <col min="1" max="1" width="18" customWidth="1"/>
    <col min="2" max="3" width="14" customWidth="1"/>
  </cols>
  <sheetData>
    <row r="1" spans="1:3" ht="18" x14ac:dyDescent="0.25">
      <c r="A1" s="5" t="s">
        <v>47</v>
      </c>
    </row>
    <row r="4" spans="1:3" x14ac:dyDescent="0.25">
      <c r="A4" s="6" t="s">
        <v>42</v>
      </c>
      <c r="B4" s="6" t="s">
        <v>14</v>
      </c>
      <c r="C4" s="6" t="s">
        <v>43</v>
      </c>
    </row>
    <row r="5" spans="1:3" x14ac:dyDescent="0.25">
      <c r="A5" s="7" t="s">
        <v>44</v>
      </c>
      <c r="B5" s="8">
        <v>6932</v>
      </c>
      <c r="C5" s="8">
        <v>410.13</v>
      </c>
    </row>
    <row r="6" spans="1:3" x14ac:dyDescent="0.25">
      <c r="A6" s="7" t="s">
        <v>46</v>
      </c>
      <c r="B6" s="8">
        <v>3595.29</v>
      </c>
      <c r="C6" s="8">
        <v>387.85</v>
      </c>
    </row>
    <row r="7" spans="1:3" x14ac:dyDescent="0.25">
      <c r="A7" s="7" t="s">
        <v>45</v>
      </c>
      <c r="B7" s="8">
        <v>2558.54</v>
      </c>
      <c r="C7" s="8">
        <v>247.05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workbookViewId="0"/>
  </sheetViews>
  <sheetFormatPr defaultColWidth="8.7109375" defaultRowHeight="15" x14ac:dyDescent="0.25"/>
  <cols>
    <col min="1" max="1" width="18" customWidth="1"/>
    <col min="2" max="3" width="14" customWidth="1"/>
  </cols>
  <sheetData>
    <row r="1" spans="1:3" ht="18" x14ac:dyDescent="0.25">
      <c r="A1" s="5" t="s">
        <v>48</v>
      </c>
    </row>
    <row r="4" spans="1:3" x14ac:dyDescent="0.25">
      <c r="A4" s="6" t="s">
        <v>42</v>
      </c>
      <c r="B4" s="6" t="s">
        <v>14</v>
      </c>
      <c r="C4" s="6" t="s">
        <v>43</v>
      </c>
    </row>
    <row r="5" spans="1:3" x14ac:dyDescent="0.25">
      <c r="A5" s="7" t="s">
        <v>44</v>
      </c>
      <c r="B5" s="8">
        <v>3945.82</v>
      </c>
      <c r="C5" s="8">
        <v>698.95</v>
      </c>
    </row>
    <row r="6" spans="1:3" x14ac:dyDescent="0.25">
      <c r="A6" s="7" t="s">
        <v>45</v>
      </c>
      <c r="B6" s="8">
        <v>4553.83</v>
      </c>
      <c r="C6" s="8">
        <v>564.84</v>
      </c>
    </row>
    <row r="7" spans="1:3" x14ac:dyDescent="0.25">
      <c r="A7" s="7" t="s">
        <v>46</v>
      </c>
      <c r="B7" s="8">
        <v>3466.55</v>
      </c>
      <c r="C7" s="8">
        <v>358.43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zoomScaleNormal="100" workbookViewId="0"/>
  </sheetViews>
  <sheetFormatPr defaultColWidth="8.7109375" defaultRowHeight="15" x14ac:dyDescent="0.25"/>
  <cols>
    <col min="1" max="1" width="18" customWidth="1"/>
    <col min="2" max="3" width="14" customWidth="1"/>
  </cols>
  <sheetData>
    <row r="1" spans="1:3" ht="18" x14ac:dyDescent="0.25">
      <c r="A1" s="5" t="s">
        <v>49</v>
      </c>
    </row>
    <row r="4" spans="1:3" x14ac:dyDescent="0.25">
      <c r="A4" s="6" t="s">
        <v>42</v>
      </c>
      <c r="B4" s="6" t="s">
        <v>14</v>
      </c>
      <c r="C4" s="6" t="s">
        <v>43</v>
      </c>
    </row>
    <row r="5" spans="1:3" x14ac:dyDescent="0.25">
      <c r="A5" s="7" t="s">
        <v>45</v>
      </c>
      <c r="B5" s="8">
        <v>6263.92</v>
      </c>
      <c r="C5" s="8">
        <v>527.6</v>
      </c>
    </row>
    <row r="6" spans="1:3" x14ac:dyDescent="0.25">
      <c r="A6" s="7" t="s">
        <v>46</v>
      </c>
      <c r="B6" s="8">
        <v>7103.89</v>
      </c>
      <c r="C6" s="8">
        <v>587.35</v>
      </c>
    </row>
    <row r="7" spans="1:3" x14ac:dyDescent="0.25">
      <c r="A7" s="7" t="s">
        <v>44</v>
      </c>
      <c r="B7" s="8">
        <v>4656.1899999999996</v>
      </c>
      <c r="C7" s="8">
        <v>1154.29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zoomScaleNormal="100" workbookViewId="0">
      <selection activeCell="I31" sqref="I31"/>
    </sheetView>
  </sheetViews>
  <sheetFormatPr defaultColWidth="8.7109375" defaultRowHeight="15" x14ac:dyDescent="0.25"/>
  <cols>
    <col min="1" max="1" width="18" customWidth="1"/>
    <col min="2" max="3" width="22" customWidth="1"/>
  </cols>
  <sheetData>
    <row r="1" spans="1:3" ht="18" x14ac:dyDescent="0.25">
      <c r="A1" s="5" t="s">
        <v>50</v>
      </c>
    </row>
    <row r="2" spans="1:3" x14ac:dyDescent="0.25">
      <c r="A2" s="9" t="s">
        <v>51</v>
      </c>
    </row>
    <row r="4" spans="1:3" x14ac:dyDescent="0.25">
      <c r="A4" s="10" t="s">
        <v>52</v>
      </c>
    </row>
    <row r="5" spans="1:3" ht="30" x14ac:dyDescent="0.25">
      <c r="A5" s="6" t="s">
        <v>42</v>
      </c>
      <c r="B5" s="6" t="s">
        <v>53</v>
      </c>
      <c r="C5" s="6" t="s">
        <v>54</v>
      </c>
    </row>
    <row r="6" spans="1:3" x14ac:dyDescent="0.25">
      <c r="A6" s="12" t="s">
        <v>46</v>
      </c>
      <c r="B6" s="8">
        <f>SUMIF('East Region'!$A:$A,A6,'East Region'!$B:$B)+SUMIF('West Region'!$A:$A,A6,'West Region'!$B:$B)+SUMIF('South Region'!$A:$A,A6,'South Region'!$B:$B)+SUMIF('Central Region'!$A:$A,A6,'Central Region'!$B:$B)</f>
        <v>21971.559999999998</v>
      </c>
      <c r="C6" s="8">
        <f>SUMIF('East Region'!$A:$A,A6,'East Region'!$C:$C)+SUMIF('West Region'!$A:$A,A6,'West Region'!$C:$C)+SUMIF('South Region'!$A:$A,A6,'South Region'!$C:$C)+SUMIF('Central Region'!$A:$A,A6,'Central Region'!$C:$C)</f>
        <v>2689.5299999999997</v>
      </c>
    </row>
    <row r="7" spans="1:3" x14ac:dyDescent="0.25">
      <c r="A7" s="12" t="s">
        <v>45</v>
      </c>
      <c r="B7" s="8">
        <f>SUMIF('East Region'!$A:$A,A7,'East Region'!$B:$B)+SUMIF('West Region'!$A:$A,A7,'West Region'!$B:$B)+SUMIF('South Region'!$A:$A,A7,'South Region'!$B:$B)+SUMIF('Central Region'!$A:$A,A7,'Central Region'!$B:$B)</f>
        <v>18026.03</v>
      </c>
      <c r="C7" s="8">
        <f>SUMIF('East Region'!$A:$A,A7,'East Region'!$C:$C)+SUMIF('West Region'!$A:$A,A7,'West Region'!$C:$C)+SUMIF('South Region'!$A:$A,A7,'South Region'!$C:$C)+SUMIF('Central Region'!$A:$A,A7,'Central Region'!$C:$C)</f>
        <v>2085.35</v>
      </c>
    </row>
    <row r="8" spans="1:3" x14ac:dyDescent="0.25">
      <c r="A8" s="12" t="s">
        <v>44</v>
      </c>
      <c r="B8" s="8">
        <f>SUMIF('East Region'!$A:$A,A8,'East Region'!$B:$B)+SUMIF('West Region'!$A:$A,A8,'West Region'!$B:$B)+SUMIF('South Region'!$A:$A,A8,'South Region'!$B:$B)+SUMIF('Central Region'!$A:$A,A8,'Central Region'!$B:$B)</f>
        <v>21287.61</v>
      </c>
      <c r="C8" s="8">
        <f>SUMIF('East Region'!$A:$A,A8,'East Region'!$C:$C)+SUMIF('West Region'!$A:$A,A8,'West Region'!$C:$C)+SUMIF('South Region'!$A:$A,A8,'South Region'!$C:$C)+SUMIF('Central Region'!$A:$A,A8,'Central Region'!$C:$C)</f>
        <v>3670.83</v>
      </c>
    </row>
    <row r="9" spans="1:3" x14ac:dyDescent="0.25">
      <c r="A9" s="13" t="s">
        <v>55</v>
      </c>
      <c r="B9" s="14">
        <f>SUM(B6:B8)</f>
        <v>61285.2</v>
      </c>
      <c r="C9" s="14">
        <f>SUM(C6:C8)</f>
        <v>8445.7099999999991</v>
      </c>
    </row>
    <row r="11" spans="1:3" x14ac:dyDescent="0.25">
      <c r="A11" s="11"/>
    </row>
    <row r="12" spans="1:3" x14ac:dyDescent="0.25">
      <c r="A12" s="9"/>
    </row>
    <row r="13" spans="1:3" x14ac:dyDescent="0.25">
      <c r="A13" s="9"/>
    </row>
    <row r="14" spans="1:3" x14ac:dyDescent="0.25">
      <c r="A14" s="9"/>
    </row>
    <row r="15" spans="1:3" x14ac:dyDescent="0.25">
      <c r="A15" s="9"/>
    </row>
    <row r="16" spans="1:3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7"/>
  <sheetViews>
    <sheetView topLeftCell="A15" zoomScaleNormal="100" workbookViewId="0">
      <selection activeCell="C35" sqref="C35"/>
    </sheetView>
  </sheetViews>
  <sheetFormatPr defaultColWidth="8.7109375" defaultRowHeight="15" x14ac:dyDescent="0.25"/>
  <cols>
    <col min="1" max="1" width="22" customWidth="1"/>
    <col min="2" max="2" width="14" customWidth="1"/>
    <col min="3" max="3" width="22" customWidth="1"/>
  </cols>
  <sheetData>
    <row r="1" spans="1:3" ht="18" x14ac:dyDescent="0.25">
      <c r="A1" s="5" t="s">
        <v>56</v>
      </c>
    </row>
    <row r="2" spans="1:3" x14ac:dyDescent="0.25">
      <c r="A2" s="9" t="s">
        <v>57</v>
      </c>
    </row>
    <row r="4" spans="1:3" x14ac:dyDescent="0.25">
      <c r="A4" s="6" t="s">
        <v>13</v>
      </c>
      <c r="B4" s="6" t="s">
        <v>42</v>
      </c>
      <c r="C4" s="6" t="s">
        <v>14</v>
      </c>
    </row>
    <row r="5" spans="1:3" x14ac:dyDescent="0.25">
      <c r="A5" s="7" t="s">
        <v>15</v>
      </c>
      <c r="B5" s="7" t="s">
        <v>46</v>
      </c>
      <c r="C5" s="8">
        <v>261.95999999999998</v>
      </c>
    </row>
    <row r="6" spans="1:3" x14ac:dyDescent="0.25">
      <c r="A6" s="7" t="s">
        <v>16</v>
      </c>
      <c r="B6" s="7" t="s">
        <v>46</v>
      </c>
      <c r="C6" s="8">
        <v>731.94</v>
      </c>
    </row>
    <row r="7" spans="1:3" x14ac:dyDescent="0.25">
      <c r="A7" s="7" t="s">
        <v>18</v>
      </c>
      <c r="B7" s="7" t="s">
        <v>46</v>
      </c>
      <c r="C7" s="8">
        <v>957.57749999999999</v>
      </c>
    </row>
    <row r="8" spans="1:3" x14ac:dyDescent="0.25">
      <c r="A8" s="7" t="s">
        <v>20</v>
      </c>
      <c r="B8" s="7" t="s">
        <v>46</v>
      </c>
      <c r="C8" s="8">
        <v>48.86</v>
      </c>
    </row>
    <row r="9" spans="1:3" x14ac:dyDescent="0.25">
      <c r="A9" s="7" t="s">
        <v>58</v>
      </c>
      <c r="B9" s="7" t="s">
        <v>46</v>
      </c>
      <c r="C9" s="8">
        <v>1706.184</v>
      </c>
    </row>
    <row r="10" spans="1:3" x14ac:dyDescent="0.25">
      <c r="A10" s="13" t="s">
        <v>59</v>
      </c>
      <c r="B10" s="15"/>
      <c r="C10" s="16">
        <f>SUBTOTAL(9,C5:C9)</f>
        <v>3706.5214999999998</v>
      </c>
    </row>
    <row r="11" spans="1:3" x14ac:dyDescent="0.25">
      <c r="A11" s="7" t="s">
        <v>17</v>
      </c>
      <c r="B11" s="7" t="s">
        <v>45</v>
      </c>
      <c r="C11" s="8">
        <v>14.62</v>
      </c>
    </row>
    <row r="12" spans="1:3" x14ac:dyDescent="0.25">
      <c r="A12" s="7" t="s">
        <v>19</v>
      </c>
      <c r="B12" s="7" t="s">
        <v>45</v>
      </c>
      <c r="C12" s="8">
        <v>22.367999999999999</v>
      </c>
    </row>
    <row r="13" spans="1:3" x14ac:dyDescent="0.25">
      <c r="A13" s="7" t="s">
        <v>21</v>
      </c>
      <c r="B13" s="7" t="s">
        <v>45</v>
      </c>
      <c r="C13" s="8">
        <v>7.28</v>
      </c>
    </row>
    <row r="14" spans="1:3" x14ac:dyDescent="0.25">
      <c r="A14" s="7" t="s">
        <v>23</v>
      </c>
      <c r="B14" s="7" t="s">
        <v>45</v>
      </c>
      <c r="C14" s="8">
        <v>18.504000000000001</v>
      </c>
    </row>
    <row r="15" spans="1:3" x14ac:dyDescent="0.25">
      <c r="A15" s="7" t="s">
        <v>24</v>
      </c>
      <c r="B15" s="7" t="s">
        <v>45</v>
      </c>
      <c r="C15" s="8">
        <v>114.9</v>
      </c>
    </row>
    <row r="16" spans="1:3" x14ac:dyDescent="0.25">
      <c r="A16" s="13" t="s">
        <v>60</v>
      </c>
      <c r="B16" s="15"/>
      <c r="C16" s="16">
        <f>SUBTOTAL(9,C11:C15)</f>
        <v>177.67200000000003</v>
      </c>
    </row>
    <row r="17" spans="1:3" x14ac:dyDescent="0.25">
      <c r="A17" s="7" t="s">
        <v>22</v>
      </c>
      <c r="B17" s="7" t="s">
        <v>44</v>
      </c>
      <c r="C17" s="8">
        <v>907.15200000000004</v>
      </c>
    </row>
    <row r="18" spans="1:3" x14ac:dyDescent="0.25">
      <c r="A18" s="7" t="s">
        <v>61</v>
      </c>
      <c r="B18" s="7" t="s">
        <v>44</v>
      </c>
      <c r="C18" s="8">
        <v>911.42399999999998</v>
      </c>
    </row>
    <row r="19" spans="1:3" x14ac:dyDescent="0.25">
      <c r="A19" s="7" t="s">
        <v>62</v>
      </c>
      <c r="B19" s="7" t="s">
        <v>44</v>
      </c>
      <c r="C19" s="8">
        <v>213.48</v>
      </c>
    </row>
    <row r="20" spans="1:3" x14ac:dyDescent="0.25">
      <c r="A20" s="7" t="s">
        <v>63</v>
      </c>
      <c r="B20" s="7" t="s">
        <v>44</v>
      </c>
      <c r="C20" s="8">
        <v>90.57</v>
      </c>
    </row>
    <row r="21" spans="1:3" x14ac:dyDescent="0.25">
      <c r="A21" s="7" t="s">
        <v>64</v>
      </c>
      <c r="B21" s="7" t="s">
        <v>44</v>
      </c>
      <c r="C21" s="8">
        <v>1097.5440000000001</v>
      </c>
    </row>
    <row r="22" spans="1:3" x14ac:dyDescent="0.25">
      <c r="A22" s="13" t="s">
        <v>65</v>
      </c>
      <c r="B22" s="15"/>
      <c r="C22" s="16">
        <f>SUBTOTAL(9,C17:C21)</f>
        <v>3220.17</v>
      </c>
    </row>
    <row r="23" spans="1:3" x14ac:dyDescent="0.25">
      <c r="A23" s="17" t="s">
        <v>55</v>
      </c>
      <c r="B23" s="17"/>
      <c r="C23" s="18">
        <f>SUBTOTAL(9,C5:C22)</f>
        <v>7104.3634999999986</v>
      </c>
    </row>
    <row r="25" spans="1:3" x14ac:dyDescent="0.25">
      <c r="A25" s="10" t="s">
        <v>66</v>
      </c>
    </row>
    <row r="26" spans="1:3" ht="30" x14ac:dyDescent="0.25">
      <c r="A26" s="6" t="s">
        <v>67</v>
      </c>
      <c r="B26" s="6" t="s">
        <v>68</v>
      </c>
      <c r="C26" s="6" t="s">
        <v>69</v>
      </c>
    </row>
    <row r="27" spans="1:3" x14ac:dyDescent="0.25">
      <c r="A27" s="7">
        <v>9</v>
      </c>
      <c r="B27" s="7" t="s">
        <v>70</v>
      </c>
      <c r="C27" s="8">
        <f>SUBTOTAL(9,C5:C9)</f>
        <v>3706.5214999999998</v>
      </c>
    </row>
    <row r="28" spans="1:3" x14ac:dyDescent="0.25">
      <c r="A28" s="7">
        <v>1</v>
      </c>
      <c r="B28" s="7" t="s">
        <v>71</v>
      </c>
      <c r="C28" s="8">
        <f>SUBTOTAL(1,C5:C9)</f>
        <v>741.30430000000001</v>
      </c>
    </row>
    <row r="29" spans="1:3" x14ac:dyDescent="0.25">
      <c r="A29" s="7">
        <v>2</v>
      </c>
      <c r="B29" s="7" t="s">
        <v>72</v>
      </c>
      <c r="C29" s="7">
        <f>SUBTOTAL(2,C5:C9)</f>
        <v>5</v>
      </c>
    </row>
    <row r="30" spans="1:3" x14ac:dyDescent="0.25">
      <c r="A30" s="7">
        <v>4</v>
      </c>
      <c r="B30" s="7" t="s">
        <v>73</v>
      </c>
      <c r="C30" s="8">
        <f>SUBTOTAL(4,C5:C9)</f>
        <v>1706.184</v>
      </c>
    </row>
    <row r="31" spans="1:3" x14ac:dyDescent="0.25">
      <c r="A31" s="7">
        <v>5</v>
      </c>
      <c r="B31" s="7" t="s">
        <v>74</v>
      </c>
      <c r="C31" s="8">
        <f>SUBTOTAL(5,C5:C9)</f>
        <v>48.86</v>
      </c>
    </row>
    <row r="33" spans="1:1" x14ac:dyDescent="0.25">
      <c r="A33" s="11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JanSales</vt:lpstr>
      <vt:lpstr>FebSales</vt:lpstr>
      <vt:lpstr>MarSales</vt:lpstr>
      <vt:lpstr>1. Multi-Sheet SUM Trick</vt:lpstr>
      <vt:lpstr>East Region</vt:lpstr>
      <vt:lpstr>West Region</vt:lpstr>
      <vt:lpstr>South Region</vt:lpstr>
      <vt:lpstr>Central Region</vt:lpstr>
      <vt:lpstr>2. Consolidate Feature</vt:lpstr>
      <vt:lpstr>3. SUBTOTAL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2026-09-25T01:59:44Z</dcterms:created>
  <dcterms:modified xsi:type="dcterms:W3CDTF">2026-10-02T06:44:14Z</dcterms:modified>
  <dc:language>en-US</dc:language>
</cp:coreProperties>
</file>