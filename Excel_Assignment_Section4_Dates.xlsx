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8ED5BD09-6E20-4F56-8448-97EB6C2FE44D}" xr6:coauthVersionLast="36" xr6:coauthVersionMax="36" xr10:uidLastSave="{00000000-0000-0000-0000-000000000000}"/>
  <bookViews>
    <workbookView xWindow="0" yWindow="0" windowWidth="28800" windowHeight="12105" tabRatio="500" xr2:uid="{00000000-000D-0000-FFFF-FFFF00000000}"/>
  </bookViews>
  <sheets>
    <sheet name="Cover" sheetId="1" r:id="rId1"/>
    <sheet name="1. Date Duration" sheetId="2" r:id="rId2"/>
    <sheet name="2. Date Formulas" sheetId="3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3" l="1"/>
  <c r="D33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D11" i="3"/>
  <c r="D10" i="3"/>
  <c r="D9" i="3"/>
  <c r="B5" i="3"/>
  <c r="H16" i="2"/>
  <c r="G16" i="2"/>
  <c r="F16" i="2"/>
  <c r="E16" i="2"/>
  <c r="I16" i="2" s="1"/>
  <c r="D16" i="2"/>
  <c r="H15" i="2"/>
  <c r="G15" i="2"/>
  <c r="F15" i="2"/>
  <c r="E15" i="2"/>
  <c r="I15" i="2" s="1"/>
  <c r="D15" i="2"/>
  <c r="H14" i="2"/>
  <c r="G14" i="2"/>
  <c r="F14" i="2"/>
  <c r="E14" i="2"/>
  <c r="I14" i="2" s="1"/>
  <c r="D14" i="2"/>
  <c r="H13" i="2"/>
  <c r="G13" i="2"/>
  <c r="F13" i="2"/>
  <c r="E13" i="2"/>
  <c r="I13" i="2" s="1"/>
  <c r="D13" i="2"/>
  <c r="H12" i="2"/>
  <c r="G12" i="2"/>
  <c r="F12" i="2"/>
  <c r="E12" i="2"/>
  <c r="I12" i="2" s="1"/>
  <c r="D12" i="2"/>
  <c r="H11" i="2"/>
  <c r="G11" i="2"/>
  <c r="F11" i="2"/>
  <c r="E11" i="2"/>
  <c r="I11" i="2" s="1"/>
  <c r="D11" i="2"/>
  <c r="H10" i="2"/>
  <c r="G10" i="2"/>
  <c r="F10" i="2"/>
  <c r="E10" i="2"/>
  <c r="I10" i="2" s="1"/>
  <c r="D10" i="2"/>
  <c r="H9" i="2"/>
  <c r="G9" i="2"/>
  <c r="F9" i="2"/>
  <c r="E9" i="2"/>
  <c r="I9" i="2" s="1"/>
  <c r="D9" i="2"/>
  <c r="H8" i="2"/>
  <c r="G8" i="2"/>
  <c r="F8" i="2"/>
  <c r="E8" i="2"/>
  <c r="I8" i="2" s="1"/>
  <c r="D8" i="2"/>
  <c r="H7" i="2"/>
  <c r="G7" i="2"/>
  <c r="F7" i="2"/>
  <c r="E7" i="2"/>
  <c r="I7" i="2" s="1"/>
  <c r="D7" i="2"/>
  <c r="H6" i="2"/>
  <c r="G6" i="2"/>
  <c r="F6" i="2"/>
  <c r="E6" i="2"/>
  <c r="I6" i="2" s="1"/>
  <c r="D6" i="2"/>
  <c r="H5" i="2"/>
  <c r="G5" i="2"/>
  <c r="F5" i="2"/>
  <c r="E5" i="2"/>
  <c r="I5" i="2" s="1"/>
  <c r="D5" i="2"/>
</calcChain>
</file>

<file path=xl/sharedStrings.xml><?xml version="1.0" encoding="utf-8"?>
<sst xmlns="http://schemas.openxmlformats.org/spreadsheetml/2006/main" count="66" uniqueCount="48">
  <si>
    <t>Excel Practical Assignment — Section 4: Working with Dates</t>
  </si>
  <si>
    <t>Dataset used: Superstore Sales (Orders sheet) — Order Date / Ship Date columns</t>
  </si>
  <si>
    <t>Sheets in this workbook:</t>
  </si>
  <si>
    <t>1. Date Duration -&gt; Start/end timestamps, subtraction duration, DATEDIF (days/months/years),</t>
  </si>
  <si>
    <t xml:space="preserve">   custom date formatting, manual-vs-DATEDIF comparison</t>
  </si>
  <si>
    <t>2. Date Formulas -&gt; TODAY(), DATE(), YEAR/MONTH/DAY extraction, combined dynamic date calculation,</t>
  </si>
  <si>
    <t xml:space="preserve">   and a written explanation of why date functions matter in analysis</t>
  </si>
  <si>
    <t>Section 4.1 — Dates in Excel &amp; Calculating Duration Using Two Dates with Timestamp</t>
  </si>
  <si>
    <t>Tasks 1-5: Start/end timestamps, Subtraction duration, DATEDIF, Custom formatting, Manual vs DATEDIF comparison</t>
  </si>
  <si>
    <t>Event (Order)</t>
  </si>
  <si>
    <t>Start Date &amp; Time</t>
  </si>
  <si>
    <t>End Date &amp; Time</t>
  </si>
  <si>
    <t>Duration
(Subtraction, d hh:mm)</t>
  </si>
  <si>
    <t>DATEDIF Days</t>
  </si>
  <si>
    <t>DATEDIF Months</t>
  </si>
  <si>
    <t>DATEDIF Years</t>
  </si>
  <si>
    <t>Start (Custom Format)</t>
  </si>
  <si>
    <t>Match Check
(Manual = DATEDIF days?)</t>
  </si>
  <si>
    <t>Bush Somerset Collection Boo</t>
  </si>
  <si>
    <t>Hon Deluxe Fabric Upholstere</t>
  </si>
  <si>
    <t>Self-Adhesive Address Labels</t>
  </si>
  <si>
    <t xml:space="preserve">Bretford CR4500 Series Slim </t>
  </si>
  <si>
    <t>Eldon Fold 'N Roll Cart Syst</t>
  </si>
  <si>
    <t>Eldon Expressions Wood and P</t>
  </si>
  <si>
    <t>Newell 322</t>
  </si>
  <si>
    <t>Mitel 5320 IP Phone VoIP pho</t>
  </si>
  <si>
    <t xml:space="preserve">DXL Angle-View Binders with </t>
  </si>
  <si>
    <t>Belkin F5C206VTEL 6 Outlet S</t>
  </si>
  <si>
    <t>Chromcraft Rectangular Confe</t>
  </si>
  <si>
    <t>Konftel 250 Conference phone</t>
  </si>
  <si>
    <t>Section 4.2 — Using Date Formulas</t>
  </si>
  <si>
    <t>Tasks 1-4: TODAY(), DATE(), YEAR/MONTH/DAY, Combined dynamic date calc  |  Task 5: written explanation</t>
  </si>
  <si>
    <t>Task 1: TODAY() function</t>
  </si>
  <si>
    <t>Today's date:</t>
  </si>
  <si>
    <t>Task 2: DATE() function — build a specific date from Year, Month, Day</t>
  </si>
  <si>
    <t>Year</t>
  </si>
  <si>
    <t>Month</t>
  </si>
  <si>
    <t>Day</t>
  </si>
  <si>
    <t>DATE(Year,Month,Day)</t>
  </si>
  <si>
    <t>Task 3: YEAR, MONTH, DAY — extract components from Order Date</t>
  </si>
  <si>
    <t>Product</t>
  </si>
  <si>
    <t>Order Date</t>
  </si>
  <si>
    <t>YEAR()</t>
  </si>
  <si>
    <t>MONTH()</t>
  </si>
  <si>
    <t>DAY()</t>
  </si>
  <si>
    <t>Task 4: Combine date functions — dynamic "1-Year Warranty Expiry" date</t>
  </si>
  <si>
    <t>Warranty Expiry
=DATE(YEAR+1,MONTH,DAY)</t>
  </si>
  <si>
    <t>Days Until Expiry
(vs TODAY)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</si>
</sst>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\ hh:mm"/>
    <numFmt numFmtId="165" formatCode="dddd&quot;, &quot;mmmm\ d&quot;, &quot;yyyy&quot; at &quot;h:mm\ AM/PM"/>
    <numFmt numFmtId="166" formatCode="dd\-mmm\-yyyy"/>
  </numFmts>
  <fonts count="10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Cambria"/>
      <charset val="1"/>
    </font>
    <font>
      <b/>
      <sz val="10.5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166" fontId="4" fillId="0" borderId="0" xfId="0" applyNumberFormat="1" applyFont="1"/>
    <xf numFmtId="166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0"/>
  <sheetViews>
    <sheetView tabSelected="1" zoomScaleNormal="100" workbookViewId="0">
      <selection activeCell="B21" sqref="B21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6" spans="2:2" x14ac:dyDescent="0.25">
      <c r="B6" s="3" t="s">
        <v>2</v>
      </c>
    </row>
    <row r="7" spans="2:2" x14ac:dyDescent="0.25">
      <c r="B7" s="4" t="s">
        <v>3</v>
      </c>
    </row>
    <row r="8" spans="2:2" x14ac:dyDescent="0.25">
      <c r="B8" s="4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zoomScaleNormal="100" workbookViewId="0">
      <selection activeCell="G5" sqref="G5"/>
    </sheetView>
  </sheetViews>
  <sheetFormatPr defaultColWidth="8.7109375" defaultRowHeight="15" x14ac:dyDescent="0.25"/>
  <cols>
    <col min="1" max="1" width="30" customWidth="1"/>
    <col min="2" max="3" width="18.7109375" bestFit="1" customWidth="1"/>
    <col min="4" max="4" width="22" customWidth="1"/>
    <col min="5" max="5" width="12" customWidth="1"/>
    <col min="6" max="6" width="13" customWidth="1"/>
    <col min="7" max="7" width="12" customWidth="1"/>
    <col min="8" max="8" width="40" customWidth="1"/>
    <col min="9" max="9" width="16" customWidth="1"/>
  </cols>
  <sheetData>
    <row r="1" spans="1:9" ht="18" x14ac:dyDescent="0.25">
      <c r="A1" s="5" t="s">
        <v>7</v>
      </c>
    </row>
    <row r="2" spans="1:9" x14ac:dyDescent="0.25">
      <c r="A2" s="6" t="s">
        <v>8</v>
      </c>
    </row>
    <row r="4" spans="1:9" ht="30" customHeight="1" x14ac:dyDescent="0.25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</row>
    <row r="5" spans="1:9" x14ac:dyDescent="0.25">
      <c r="A5" s="8" t="s">
        <v>18</v>
      </c>
      <c r="B5" s="9">
        <v>42682.427083333299</v>
      </c>
      <c r="C5" s="9">
        <v>42685.625</v>
      </c>
      <c r="D5" s="8" t="str">
        <f t="shared" ref="D5:D16" si="0">INT(C5-B5)&amp;" d "&amp;TEXT(MOD(C5-B5,1),"hh:mm")</f>
        <v>3 d 04:45</v>
      </c>
      <c r="E5" s="8">
        <f t="shared" ref="E5:E16" si="1">DATEDIF(B5,C5,"d")</f>
        <v>3</v>
      </c>
      <c r="F5" s="8">
        <f t="shared" ref="F5:F16" si="2">DATEDIF(B5,C5,"m")</f>
        <v>0</v>
      </c>
      <c r="G5" s="8">
        <f t="shared" ref="G5:G16" si="3">DATEDIF(B5,C5,"y")</f>
        <v>0</v>
      </c>
      <c r="H5" s="10">
        <f t="shared" ref="H5:H16" si="4">B5</f>
        <v>42682.427083333299</v>
      </c>
      <c r="I5" s="11" t="str">
        <f t="shared" ref="I5:I16" si="5">IF(INT(C5-B5)=E5,"Match","Check")</f>
        <v>Match</v>
      </c>
    </row>
    <row r="6" spans="1:9" x14ac:dyDescent="0.25">
      <c r="A6" s="8" t="s">
        <v>19</v>
      </c>
      <c r="B6" s="9">
        <v>42682.333333333299</v>
      </c>
      <c r="C6" s="9">
        <v>42685.5</v>
      </c>
      <c r="D6" s="8" t="str">
        <f t="shared" si="0"/>
        <v>3 d 04:00</v>
      </c>
      <c r="E6" s="8">
        <f t="shared" si="1"/>
        <v>3</v>
      </c>
      <c r="F6" s="8">
        <f t="shared" si="2"/>
        <v>0</v>
      </c>
      <c r="G6" s="8">
        <f t="shared" si="3"/>
        <v>0</v>
      </c>
      <c r="H6" s="10">
        <f t="shared" si="4"/>
        <v>42682.333333333299</v>
      </c>
      <c r="I6" s="11" t="str">
        <f t="shared" si="5"/>
        <v>Match</v>
      </c>
    </row>
    <row r="7" spans="1:9" x14ac:dyDescent="0.25">
      <c r="A7" s="8" t="s">
        <v>20</v>
      </c>
      <c r="B7" s="9">
        <v>42533.552083333299</v>
      </c>
      <c r="C7" s="9">
        <v>42537.375</v>
      </c>
      <c r="D7" s="8" t="str">
        <f t="shared" si="0"/>
        <v>3 d 19:45</v>
      </c>
      <c r="E7" s="8">
        <f t="shared" si="1"/>
        <v>4</v>
      </c>
      <c r="F7" s="8">
        <f t="shared" si="2"/>
        <v>0</v>
      </c>
      <c r="G7" s="8">
        <f t="shared" si="3"/>
        <v>0</v>
      </c>
      <c r="H7" s="10">
        <f t="shared" si="4"/>
        <v>42533.552083333299</v>
      </c>
      <c r="I7" s="11" t="str">
        <f t="shared" si="5"/>
        <v>Check</v>
      </c>
    </row>
    <row r="8" spans="1:9" x14ac:dyDescent="0.25">
      <c r="A8" s="8" t="s">
        <v>21</v>
      </c>
      <c r="B8" s="9">
        <v>42288.489583333299</v>
      </c>
      <c r="C8" s="9">
        <v>42295.385416666701</v>
      </c>
      <c r="D8" s="8" t="str">
        <f t="shared" si="0"/>
        <v>6 d 21:30</v>
      </c>
      <c r="E8" s="8">
        <f t="shared" si="1"/>
        <v>7</v>
      </c>
      <c r="F8" s="8">
        <f t="shared" si="2"/>
        <v>0</v>
      </c>
      <c r="G8" s="8">
        <f t="shared" si="3"/>
        <v>0</v>
      </c>
      <c r="H8" s="10">
        <f t="shared" si="4"/>
        <v>42288.489583333299</v>
      </c>
      <c r="I8" s="11" t="str">
        <f t="shared" si="5"/>
        <v>Check</v>
      </c>
    </row>
    <row r="9" spans="1:9" x14ac:dyDescent="0.25">
      <c r="A9" s="8" t="s">
        <v>22</v>
      </c>
      <c r="B9" s="9">
        <v>42288.364583333299</v>
      </c>
      <c r="C9" s="9">
        <v>42295.375</v>
      </c>
      <c r="D9" s="8" t="str">
        <f t="shared" si="0"/>
        <v>7 d 00:15</v>
      </c>
      <c r="E9" s="8">
        <f t="shared" si="1"/>
        <v>7</v>
      </c>
      <c r="F9" s="8">
        <f t="shared" si="2"/>
        <v>0</v>
      </c>
      <c r="G9" s="8">
        <f t="shared" si="3"/>
        <v>0</v>
      </c>
      <c r="H9" s="10">
        <f t="shared" si="4"/>
        <v>42288.364583333299</v>
      </c>
      <c r="I9" s="11" t="str">
        <f t="shared" si="5"/>
        <v>Match</v>
      </c>
    </row>
    <row r="10" spans="1:9" x14ac:dyDescent="0.25">
      <c r="A10" s="8" t="s">
        <v>23</v>
      </c>
      <c r="B10" s="9">
        <v>41799.375</v>
      </c>
      <c r="C10" s="9">
        <v>41804.697916666701</v>
      </c>
      <c r="D10" s="8" t="str">
        <f t="shared" si="0"/>
        <v>5 d 07:45</v>
      </c>
      <c r="E10" s="8">
        <f t="shared" si="1"/>
        <v>5</v>
      </c>
      <c r="F10" s="8">
        <f t="shared" si="2"/>
        <v>0</v>
      </c>
      <c r="G10" s="8">
        <f t="shared" si="3"/>
        <v>0</v>
      </c>
      <c r="H10" s="10">
        <f t="shared" si="4"/>
        <v>41799.375</v>
      </c>
      <c r="I10" s="11" t="str">
        <f t="shared" si="5"/>
        <v>Match</v>
      </c>
    </row>
    <row r="11" spans="1:9" x14ac:dyDescent="0.25">
      <c r="A11" s="8" t="s">
        <v>24</v>
      </c>
      <c r="B11" s="9">
        <v>41799.34375</v>
      </c>
      <c r="C11" s="9">
        <v>41804.385416666701</v>
      </c>
      <c r="D11" s="8" t="str">
        <f t="shared" si="0"/>
        <v>5 d 01:00</v>
      </c>
      <c r="E11" s="8">
        <f t="shared" si="1"/>
        <v>5</v>
      </c>
      <c r="F11" s="8">
        <f t="shared" si="2"/>
        <v>0</v>
      </c>
      <c r="G11" s="8">
        <f t="shared" si="3"/>
        <v>0</v>
      </c>
      <c r="H11" s="10">
        <f t="shared" si="4"/>
        <v>41799.34375</v>
      </c>
      <c r="I11" s="11" t="str">
        <f t="shared" si="5"/>
        <v>Match</v>
      </c>
    </row>
    <row r="12" spans="1:9" x14ac:dyDescent="0.25">
      <c r="A12" s="8" t="s">
        <v>25</v>
      </c>
      <c r="B12" s="9">
        <v>41799.447916666701</v>
      </c>
      <c r="C12" s="9">
        <v>41804.416666666701</v>
      </c>
      <c r="D12" s="8" t="str">
        <f t="shared" si="0"/>
        <v>4 d 23:15</v>
      </c>
      <c r="E12" s="8">
        <f t="shared" si="1"/>
        <v>5</v>
      </c>
      <c r="F12" s="8">
        <f t="shared" si="2"/>
        <v>0</v>
      </c>
      <c r="G12" s="8">
        <f t="shared" si="3"/>
        <v>0</v>
      </c>
      <c r="H12" s="10">
        <f t="shared" si="4"/>
        <v>41799.447916666701</v>
      </c>
      <c r="I12" s="11" t="str">
        <f t="shared" si="5"/>
        <v>Check</v>
      </c>
    </row>
    <row r="13" spans="1:9" x14ac:dyDescent="0.25">
      <c r="A13" s="8" t="s">
        <v>26</v>
      </c>
      <c r="B13" s="9">
        <v>41799.5625</v>
      </c>
      <c r="C13" s="9">
        <v>41804.677083333299</v>
      </c>
      <c r="D13" s="8" t="str">
        <f t="shared" si="0"/>
        <v>5 d 02:45</v>
      </c>
      <c r="E13" s="8">
        <f t="shared" si="1"/>
        <v>5</v>
      </c>
      <c r="F13" s="8">
        <f t="shared" si="2"/>
        <v>0</v>
      </c>
      <c r="G13" s="8">
        <f t="shared" si="3"/>
        <v>0</v>
      </c>
      <c r="H13" s="10">
        <f t="shared" si="4"/>
        <v>41799.5625</v>
      </c>
      <c r="I13" s="11" t="str">
        <f t="shared" si="5"/>
        <v>Match</v>
      </c>
    </row>
    <row r="14" spans="1:9" x14ac:dyDescent="0.25">
      <c r="A14" s="8" t="s">
        <v>27</v>
      </c>
      <c r="B14" s="9">
        <v>41799.34375</v>
      </c>
      <c r="C14" s="9">
        <v>41804.5</v>
      </c>
      <c r="D14" s="8" t="str">
        <f t="shared" si="0"/>
        <v>5 d 03:45</v>
      </c>
      <c r="E14" s="8">
        <f t="shared" si="1"/>
        <v>5</v>
      </c>
      <c r="F14" s="8">
        <f t="shared" si="2"/>
        <v>0</v>
      </c>
      <c r="G14" s="8">
        <f t="shared" si="3"/>
        <v>0</v>
      </c>
      <c r="H14" s="10">
        <f t="shared" si="4"/>
        <v>41799.34375</v>
      </c>
      <c r="I14" s="11" t="str">
        <f t="shared" si="5"/>
        <v>Match</v>
      </c>
    </row>
    <row r="15" spans="1:9" x14ac:dyDescent="0.25">
      <c r="A15" s="8" t="s">
        <v>28</v>
      </c>
      <c r="B15" s="9">
        <v>41799.541666666701</v>
      </c>
      <c r="C15" s="9">
        <v>41804.666666666701</v>
      </c>
      <c r="D15" s="8" t="str">
        <f t="shared" si="0"/>
        <v>5 d 03:00</v>
      </c>
      <c r="E15" s="8">
        <f t="shared" si="1"/>
        <v>5</v>
      </c>
      <c r="F15" s="8">
        <f t="shared" si="2"/>
        <v>0</v>
      </c>
      <c r="G15" s="8">
        <f t="shared" si="3"/>
        <v>0</v>
      </c>
      <c r="H15" s="10">
        <f t="shared" si="4"/>
        <v>41799.541666666701</v>
      </c>
      <c r="I15" s="11" t="str">
        <f t="shared" si="5"/>
        <v>Match</v>
      </c>
    </row>
    <row r="16" spans="1:9" x14ac:dyDescent="0.25">
      <c r="A16" s="8" t="s">
        <v>29</v>
      </c>
      <c r="B16" s="9">
        <v>41799.552083333299</v>
      </c>
      <c r="C16" s="9">
        <v>41804.65625</v>
      </c>
      <c r="D16" s="8" t="str">
        <f t="shared" si="0"/>
        <v>5 d 02:30</v>
      </c>
      <c r="E16" s="8">
        <f t="shared" si="1"/>
        <v>5</v>
      </c>
      <c r="F16" s="8">
        <f t="shared" si="2"/>
        <v>0</v>
      </c>
      <c r="G16" s="8">
        <f t="shared" si="3"/>
        <v>0</v>
      </c>
      <c r="H16" s="10">
        <f t="shared" si="4"/>
        <v>41799.552083333299</v>
      </c>
      <c r="I16" s="11" t="str">
        <f t="shared" si="5"/>
        <v>Match</v>
      </c>
    </row>
    <row r="18" spans="1:1" x14ac:dyDescent="0.25">
      <c r="A18" s="12"/>
    </row>
    <row r="19" spans="1:1" x14ac:dyDescent="0.25">
      <c r="A19" s="6"/>
    </row>
    <row r="20" spans="1:1" x14ac:dyDescent="0.25">
      <c r="A20" s="6"/>
    </row>
    <row r="21" spans="1:1" x14ac:dyDescent="0.25">
      <c r="A21" s="6"/>
    </row>
    <row r="22" spans="1:1" x14ac:dyDescent="0.25">
      <c r="A22" s="6"/>
    </row>
    <row r="23" spans="1:1" x14ac:dyDescent="0.25">
      <c r="A23" s="6"/>
    </row>
    <row r="24" spans="1:1" x14ac:dyDescent="0.25">
      <c r="A24" s="6"/>
    </row>
    <row r="25" spans="1:1" x14ac:dyDescent="0.25">
      <c r="A25" s="6"/>
    </row>
    <row r="26" spans="1:1" x14ac:dyDescent="0.25">
      <c r="A26" s="6"/>
    </row>
    <row r="27" spans="1:1" x14ac:dyDescent="0.25">
      <c r="A27" s="6"/>
    </row>
    <row r="28" spans="1:1" x14ac:dyDescent="0.25">
      <c r="A28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topLeftCell="A19" zoomScaleNormal="100" workbookViewId="0">
      <selection activeCell="A35" sqref="A35:A45"/>
    </sheetView>
  </sheetViews>
  <sheetFormatPr defaultColWidth="8.7109375" defaultRowHeight="15" x14ac:dyDescent="0.25"/>
  <cols>
    <col min="1" max="1" width="30" customWidth="1"/>
    <col min="2" max="2" width="20" customWidth="1"/>
    <col min="3" max="3" width="22" customWidth="1"/>
    <col min="4" max="4" width="18" customWidth="1"/>
    <col min="5" max="5" width="10" customWidth="1"/>
  </cols>
  <sheetData>
    <row r="1" spans="1:5" ht="18" x14ac:dyDescent="0.25">
      <c r="A1" s="5" t="s">
        <v>30</v>
      </c>
    </row>
    <row r="2" spans="1:5" x14ac:dyDescent="0.25">
      <c r="A2" s="6" t="s">
        <v>31</v>
      </c>
    </row>
    <row r="4" spans="1:5" x14ac:dyDescent="0.25">
      <c r="A4" s="13" t="s">
        <v>32</v>
      </c>
    </row>
    <row r="5" spans="1:5" x14ac:dyDescent="0.25">
      <c r="A5" s="4" t="s">
        <v>33</v>
      </c>
      <c r="B5" s="14">
        <f ca="1">TODAY()</f>
        <v>46297</v>
      </c>
    </row>
    <row r="7" spans="1:5" x14ac:dyDescent="0.25">
      <c r="A7" s="13" t="s">
        <v>34</v>
      </c>
    </row>
    <row r="8" spans="1:5" ht="30" x14ac:dyDescent="0.25">
      <c r="A8" s="7" t="s">
        <v>35</v>
      </c>
      <c r="B8" s="7" t="s">
        <v>36</v>
      </c>
      <c r="C8" s="7" t="s">
        <v>37</v>
      </c>
      <c r="D8" s="7" t="s">
        <v>38</v>
      </c>
    </row>
    <row r="9" spans="1:5" x14ac:dyDescent="0.25">
      <c r="A9" s="8">
        <v>2024</v>
      </c>
      <c r="B9" s="8">
        <v>1</v>
      </c>
      <c r="C9" s="8">
        <v>15</v>
      </c>
      <c r="D9" s="15">
        <f>DATE(A9,B9,C9)</f>
        <v>45306</v>
      </c>
    </row>
    <row r="10" spans="1:5" x14ac:dyDescent="0.25">
      <c r="A10" s="8">
        <v>2024</v>
      </c>
      <c r="B10" s="8">
        <v>6</v>
      </c>
      <c r="C10" s="8">
        <v>30</v>
      </c>
      <c r="D10" s="15">
        <f>DATE(A10,B10,C10)</f>
        <v>45473</v>
      </c>
    </row>
    <row r="11" spans="1:5" x14ac:dyDescent="0.25">
      <c r="A11" s="8">
        <v>2025</v>
      </c>
      <c r="B11" s="8">
        <v>12</v>
      </c>
      <c r="C11" s="8">
        <v>25</v>
      </c>
      <c r="D11" s="15">
        <f>DATE(A11,B11,C11)</f>
        <v>46016</v>
      </c>
    </row>
    <row r="13" spans="1:5" x14ac:dyDescent="0.25">
      <c r="A13" s="13" t="s">
        <v>39</v>
      </c>
    </row>
    <row r="14" spans="1:5" x14ac:dyDescent="0.25">
      <c r="A14" s="7" t="s">
        <v>40</v>
      </c>
      <c r="B14" s="7" t="s">
        <v>41</v>
      </c>
      <c r="C14" s="7" t="s">
        <v>42</v>
      </c>
      <c r="D14" s="7" t="s">
        <v>43</v>
      </c>
      <c r="E14" s="7" t="s">
        <v>44</v>
      </c>
    </row>
    <row r="15" spans="1:5" x14ac:dyDescent="0.25">
      <c r="A15" s="8" t="s">
        <v>18</v>
      </c>
      <c r="B15" s="15">
        <v>42682</v>
      </c>
      <c r="C15" s="8">
        <f t="shared" ref="C15:C22" si="0">YEAR(B15)</f>
        <v>2016</v>
      </c>
      <c r="D15" s="8">
        <f t="shared" ref="D15:D22" si="1">MONTH(B15)</f>
        <v>11</v>
      </c>
      <c r="E15" s="8">
        <f t="shared" ref="E15:E22" si="2">DAY(B15)</f>
        <v>8</v>
      </c>
    </row>
    <row r="16" spans="1:5" x14ac:dyDescent="0.25">
      <c r="A16" s="8" t="s">
        <v>19</v>
      </c>
      <c r="B16" s="15">
        <v>42682</v>
      </c>
      <c r="C16" s="8">
        <f t="shared" si="0"/>
        <v>2016</v>
      </c>
      <c r="D16" s="8">
        <f t="shared" si="1"/>
        <v>11</v>
      </c>
      <c r="E16" s="8">
        <f t="shared" si="2"/>
        <v>8</v>
      </c>
    </row>
    <row r="17" spans="1:5" x14ac:dyDescent="0.25">
      <c r="A17" s="8" t="s">
        <v>20</v>
      </c>
      <c r="B17" s="15">
        <v>42533</v>
      </c>
      <c r="C17" s="8">
        <f t="shared" si="0"/>
        <v>2016</v>
      </c>
      <c r="D17" s="8">
        <f t="shared" si="1"/>
        <v>6</v>
      </c>
      <c r="E17" s="8">
        <f t="shared" si="2"/>
        <v>12</v>
      </c>
    </row>
    <row r="18" spans="1:5" x14ac:dyDescent="0.25">
      <c r="A18" s="8" t="s">
        <v>21</v>
      </c>
      <c r="B18" s="15">
        <v>42288</v>
      </c>
      <c r="C18" s="8">
        <f t="shared" si="0"/>
        <v>2015</v>
      </c>
      <c r="D18" s="8">
        <f t="shared" si="1"/>
        <v>10</v>
      </c>
      <c r="E18" s="8">
        <f t="shared" si="2"/>
        <v>11</v>
      </c>
    </row>
    <row r="19" spans="1:5" x14ac:dyDescent="0.25">
      <c r="A19" s="8" t="s">
        <v>22</v>
      </c>
      <c r="B19" s="15">
        <v>42288</v>
      </c>
      <c r="C19" s="8">
        <f t="shared" si="0"/>
        <v>2015</v>
      </c>
      <c r="D19" s="8">
        <f t="shared" si="1"/>
        <v>10</v>
      </c>
      <c r="E19" s="8">
        <f t="shared" si="2"/>
        <v>11</v>
      </c>
    </row>
    <row r="20" spans="1:5" x14ac:dyDescent="0.25">
      <c r="A20" s="8" t="s">
        <v>23</v>
      </c>
      <c r="B20" s="15">
        <v>41799</v>
      </c>
      <c r="C20" s="8">
        <f t="shared" si="0"/>
        <v>2014</v>
      </c>
      <c r="D20" s="8">
        <f t="shared" si="1"/>
        <v>6</v>
      </c>
      <c r="E20" s="8">
        <f t="shared" si="2"/>
        <v>9</v>
      </c>
    </row>
    <row r="21" spans="1:5" x14ac:dyDescent="0.25">
      <c r="A21" s="8" t="s">
        <v>24</v>
      </c>
      <c r="B21" s="15">
        <v>41799</v>
      </c>
      <c r="C21" s="8">
        <f t="shared" si="0"/>
        <v>2014</v>
      </c>
      <c r="D21" s="8">
        <f t="shared" si="1"/>
        <v>6</v>
      </c>
      <c r="E21" s="8">
        <f t="shared" si="2"/>
        <v>9</v>
      </c>
    </row>
    <row r="22" spans="1:5" x14ac:dyDescent="0.25">
      <c r="A22" s="8" t="s">
        <v>25</v>
      </c>
      <c r="B22" s="15">
        <v>41799</v>
      </c>
      <c r="C22" s="8">
        <f t="shared" si="0"/>
        <v>2014</v>
      </c>
      <c r="D22" s="8">
        <f t="shared" si="1"/>
        <v>6</v>
      </c>
      <c r="E22" s="8">
        <f t="shared" si="2"/>
        <v>9</v>
      </c>
    </row>
    <row r="24" spans="1:5" x14ac:dyDescent="0.25">
      <c r="A24" s="13" t="s">
        <v>45</v>
      </c>
    </row>
    <row r="25" spans="1:5" ht="27.75" customHeight="1" x14ac:dyDescent="0.25">
      <c r="A25" s="7" t="s">
        <v>40</v>
      </c>
      <c r="B25" s="7" t="s">
        <v>41</v>
      </c>
      <c r="C25" s="7" t="s">
        <v>46</v>
      </c>
      <c r="D25" s="7" t="s">
        <v>47</v>
      </c>
    </row>
    <row r="26" spans="1:5" x14ac:dyDescent="0.25">
      <c r="A26" s="8" t="s">
        <v>18</v>
      </c>
      <c r="B26" s="15">
        <v>42682</v>
      </c>
      <c r="C26" s="15">
        <f t="shared" ref="C26:C33" si="3">DATE(YEAR(B26)+1,MONTH(B26),DAY(B26))</f>
        <v>43047</v>
      </c>
      <c r="D26" s="8">
        <f t="shared" ref="D26:D33" ca="1" si="4">C26-TODAY()</f>
        <v>-3250</v>
      </c>
    </row>
    <row r="27" spans="1:5" x14ac:dyDescent="0.25">
      <c r="A27" s="8" t="s">
        <v>19</v>
      </c>
      <c r="B27" s="15">
        <v>42682</v>
      </c>
      <c r="C27" s="15">
        <f t="shared" si="3"/>
        <v>43047</v>
      </c>
      <c r="D27" s="8">
        <f t="shared" ca="1" si="4"/>
        <v>-3250</v>
      </c>
    </row>
    <row r="28" spans="1:5" x14ac:dyDescent="0.25">
      <c r="A28" s="8" t="s">
        <v>20</v>
      </c>
      <c r="B28" s="15">
        <v>42533</v>
      </c>
      <c r="C28" s="15">
        <f t="shared" si="3"/>
        <v>42898</v>
      </c>
      <c r="D28" s="8">
        <f t="shared" ca="1" si="4"/>
        <v>-3399</v>
      </c>
    </row>
    <row r="29" spans="1:5" x14ac:dyDescent="0.25">
      <c r="A29" s="8" t="s">
        <v>21</v>
      </c>
      <c r="B29" s="15">
        <v>42288</v>
      </c>
      <c r="C29" s="15">
        <f t="shared" si="3"/>
        <v>42654</v>
      </c>
      <c r="D29" s="8">
        <f t="shared" ca="1" si="4"/>
        <v>-3643</v>
      </c>
    </row>
    <row r="30" spans="1:5" x14ac:dyDescent="0.25">
      <c r="A30" s="8" t="s">
        <v>22</v>
      </c>
      <c r="B30" s="15">
        <v>42288</v>
      </c>
      <c r="C30" s="15">
        <f t="shared" si="3"/>
        <v>42654</v>
      </c>
      <c r="D30" s="8">
        <f t="shared" ca="1" si="4"/>
        <v>-3643</v>
      </c>
    </row>
    <row r="31" spans="1:5" x14ac:dyDescent="0.25">
      <c r="A31" s="8" t="s">
        <v>23</v>
      </c>
      <c r="B31" s="15">
        <v>41799</v>
      </c>
      <c r="C31" s="15">
        <f t="shared" si="3"/>
        <v>42164</v>
      </c>
      <c r="D31" s="8">
        <f t="shared" ca="1" si="4"/>
        <v>-4133</v>
      </c>
    </row>
    <row r="32" spans="1:5" x14ac:dyDescent="0.25">
      <c r="A32" s="8" t="s">
        <v>24</v>
      </c>
      <c r="B32" s="15">
        <v>41799</v>
      </c>
      <c r="C32" s="15">
        <f t="shared" si="3"/>
        <v>42164</v>
      </c>
      <c r="D32" s="8">
        <f t="shared" ca="1" si="4"/>
        <v>-4133</v>
      </c>
    </row>
    <row r="33" spans="1:4" x14ac:dyDescent="0.25">
      <c r="A33" s="8" t="s">
        <v>25</v>
      </c>
      <c r="B33" s="15">
        <v>41799</v>
      </c>
      <c r="C33" s="15">
        <f t="shared" si="3"/>
        <v>42164</v>
      </c>
      <c r="D33" s="8">
        <f t="shared" ca="1" si="4"/>
        <v>-4133</v>
      </c>
    </row>
    <row r="35" spans="1:4" x14ac:dyDescent="0.25">
      <c r="A35" s="13"/>
    </row>
    <row r="36" spans="1:4" x14ac:dyDescent="0.25">
      <c r="A36" s="6"/>
    </row>
    <row r="37" spans="1:4" x14ac:dyDescent="0.25">
      <c r="A37" s="6"/>
    </row>
    <row r="38" spans="1:4" x14ac:dyDescent="0.25">
      <c r="A38" s="6"/>
    </row>
    <row r="39" spans="1:4" x14ac:dyDescent="0.25">
      <c r="A39" s="6"/>
    </row>
    <row r="40" spans="1:4" x14ac:dyDescent="0.25">
      <c r="A40" s="6"/>
    </row>
    <row r="41" spans="1:4" x14ac:dyDescent="0.25">
      <c r="A41" s="6"/>
    </row>
    <row r="42" spans="1:4" x14ac:dyDescent="0.25">
      <c r="A42" s="6"/>
    </row>
    <row r="43" spans="1:4" x14ac:dyDescent="0.25">
      <c r="A43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1. Date Duration</vt:lpstr>
      <vt:lpstr>2. Date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2026-09-24T02:33:58Z</dcterms:created>
  <dcterms:modified xsi:type="dcterms:W3CDTF">2026-10-02T06:37:32Z</dcterms:modified>
  <dc:language>en-US</dc:language>
</cp:coreProperties>
</file>