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Jobaaj Learning\Excel\"/>
    </mc:Choice>
  </mc:AlternateContent>
  <xr:revisionPtr revIDLastSave="0" documentId="13_ncr:1_{5785CFD1-A831-4D5F-B736-3C9509FD6336}" xr6:coauthVersionLast="36" xr6:coauthVersionMax="36" xr10:uidLastSave="{00000000-0000-0000-0000-000000000000}"/>
  <bookViews>
    <workbookView xWindow="0" yWindow="0" windowWidth="28800" windowHeight="12105" tabRatio="500" activeTab="2" xr2:uid="{00000000-000D-0000-FFFF-FFFF00000000}"/>
  </bookViews>
  <sheets>
    <sheet name="Cover" sheetId="1" r:id="rId1"/>
    <sheet name="1. COUNTIF SUMIF AVERAGEIF" sheetId="2" r:id="rId2"/>
    <sheet name="2. COUNTIFS &amp; SUMIFS" sheetId="3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3" i="3" l="1"/>
  <c r="D43" i="3"/>
  <c r="E42" i="3"/>
  <c r="D42" i="3"/>
  <c r="E41" i="3"/>
  <c r="D41" i="3"/>
  <c r="C37" i="3"/>
  <c r="C36" i="3"/>
  <c r="C35" i="3"/>
  <c r="C31" i="3"/>
  <c r="C30" i="3"/>
  <c r="C29" i="3"/>
  <c r="B39" i="2"/>
  <c r="B38" i="2"/>
  <c r="B37" i="2"/>
  <c r="B33" i="2"/>
  <c r="B29" i="2"/>
</calcChain>
</file>

<file path=xl/sharedStrings.xml><?xml version="1.0" encoding="utf-8"?>
<sst xmlns="http://schemas.openxmlformats.org/spreadsheetml/2006/main" count="165" uniqueCount="75">
  <si>
    <t>Excel Practical Assignment — Section 9: Conditional Aggregation</t>
  </si>
  <si>
    <t>Dataset used: Superstore Sales (Orders sheet)</t>
  </si>
  <si>
    <t>Sheets in this workbook:</t>
  </si>
  <si>
    <t>1. COUNTIF SUMIF AVERAGEIF -&gt; Sales dataset, single-condition COUNTIF/SUMIF/AVERAGEIF, and a</t>
  </si>
  <si>
    <t xml:space="preserve">   comparison of what each function returns</t>
  </si>
  <si>
    <t>2. COUNTIFS &amp; SUMIFS -&gt; Multi-criteria dataset, two-condition COUNTIFS/SUMIFS, a three-condition</t>
  </si>
  <si>
    <t xml:space="preserve">   experiment, and why multi-criteria aggregation matters for real analysis</t>
  </si>
  <si>
    <t>Section 9.1 — Basics of COUNTIF, SUMIF, AVERAGEIF</t>
  </si>
  <si>
    <t>Tasks 1-5: Sales dataset, COUNTIF, SUMIF, AVERAGEIF, Compare the three functions</t>
  </si>
  <si>
    <t>Task 1: Sales dataset (Product, Category, Sales Amount)</t>
  </si>
  <si>
    <t>Product Name</t>
  </si>
  <si>
    <t>Category</t>
  </si>
  <si>
    <t>Sales Amount</t>
  </si>
  <si>
    <t>Bush Somerset Collection Bookc</t>
  </si>
  <si>
    <t>Furniture</t>
  </si>
  <si>
    <t xml:space="preserve">Hon Deluxe Fabric Upholstered </t>
  </si>
  <si>
    <t>Self-Adhesive Address Labels f</t>
  </si>
  <si>
    <t>Office Supplies</t>
  </si>
  <si>
    <t>Bretford CR4500 Series Slim Re</t>
  </si>
  <si>
    <t>Eldon Fold 'N Roll Cart System</t>
  </si>
  <si>
    <t>Eldon Expressions Wood and Pla</t>
  </si>
  <si>
    <t>Newell 322</t>
  </si>
  <si>
    <t>Mitel 5320 IP Phone VoIP phone</t>
  </si>
  <si>
    <t>Technology</t>
  </si>
  <si>
    <t>DXL Angle-View Binders with Lo</t>
  </si>
  <si>
    <t>Belkin F5C206VTEL 6 Outlet Sur</t>
  </si>
  <si>
    <t>Chromcraft Rectangular Confere</t>
  </si>
  <si>
    <t>Konftel 250 Conference phone -</t>
  </si>
  <si>
    <t>Xerox 1967</t>
  </si>
  <si>
    <t>Fellowes PB200 Plastic Comb Bi</t>
  </si>
  <si>
    <t xml:space="preserve">Holmes Replacement Filter for </t>
  </si>
  <si>
    <t>Storex DuraTech Recycled Plast</t>
  </si>
  <si>
    <t>Stur-D-Stor Shelving, Vertical</t>
  </si>
  <si>
    <t>Fellowes Super Stor/Drawer</t>
  </si>
  <si>
    <t>Newell 341</t>
  </si>
  <si>
    <t>Cisco SPA 501G IP Phone</t>
  </si>
  <si>
    <t>Task 2: COUNTIF — count sales above a threshold</t>
  </si>
  <si>
    <t>Threshold:</t>
  </si>
  <si>
    <t>COUNTIF result (orders with Sales &gt; threshold):</t>
  </si>
  <si>
    <t>Task 3: SUMIF — total sales for one specific product</t>
  </si>
  <si>
    <t>Product:</t>
  </si>
  <si>
    <t>SUMIF result (total Sales for that product):</t>
  </si>
  <si>
    <t>Task 4: AVERAGEIF — average sales for one Category</t>
  </si>
  <si>
    <t>AVERAGEIF -&gt; Average Sales</t>
  </si>
  <si>
    <t>Section 9.2 — COUNTIFS &amp; SUMIFS</t>
  </si>
  <si>
    <t>Tasks 1-5: Multi-criteria dataset, COUNTIFS, SUMIFS, Experiment with combinations, Why multi-criteria matters</t>
  </si>
  <si>
    <t>Task 1: Dataset with multiple criteria (Product, Region, Category, Sales)</t>
  </si>
  <si>
    <t>Region</t>
  </si>
  <si>
    <t>Sales</t>
  </si>
  <si>
    <t>Bush Somerset Collection Boo</t>
  </si>
  <si>
    <t>South</t>
  </si>
  <si>
    <t>Hon Deluxe Fabric Upholstere</t>
  </si>
  <si>
    <t>Self-Adhesive Address Labels</t>
  </si>
  <si>
    <t>West</t>
  </si>
  <si>
    <t xml:space="preserve">Bretford CR4500 Series Slim </t>
  </si>
  <si>
    <t>Eldon Fold 'N Roll Cart Syst</t>
  </si>
  <si>
    <t>Eldon Expressions Wood and P</t>
  </si>
  <si>
    <t>Mitel 5320 IP Phone VoIP pho</t>
  </si>
  <si>
    <t xml:space="preserve">DXL Angle-View Binders with </t>
  </si>
  <si>
    <t>Belkin F5C206VTEL 6 Outlet S</t>
  </si>
  <si>
    <t>Chromcraft Rectangular Confe</t>
  </si>
  <si>
    <t>Konftel 250 Conference phone</t>
  </si>
  <si>
    <t xml:space="preserve">Fellowes PB200 Plastic Comb </t>
  </si>
  <si>
    <t>Holmes Replacement Filter fo</t>
  </si>
  <si>
    <t>Central</t>
  </si>
  <si>
    <t>Storex DuraTech Recycled Pla</t>
  </si>
  <si>
    <t>Stur-D-Stor Shelving, Vertic</t>
  </si>
  <si>
    <t>Task 2: COUNTIFS — count orders meeting TWO criteria at once</t>
  </si>
  <si>
    <t>COUNTIFS -&gt; Order Count</t>
  </si>
  <si>
    <t>Task 3: SUMIFS — total sales meeting TWO criteria at once</t>
  </si>
  <si>
    <t>SUMIFS -&gt; Total Sales</t>
  </si>
  <si>
    <t>Task 4: Experiment with different combinations — add a Sales threshold as a THIRD criterion</t>
  </si>
  <si>
    <t>Min Sales</t>
  </si>
  <si>
    <t>COUNTIFS (3 criteria)</t>
  </si>
  <si>
    <t>SUMIFS (3 criteria)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</si>
</sst>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"/>
  </numFmts>
  <fonts count="10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1"/>
      <name val="Arial"/>
      <charset val="1"/>
    </font>
    <font>
      <b/>
      <sz val="11"/>
      <name val="Cambria"/>
      <charset val="1"/>
    </font>
    <font>
      <sz val="10.5"/>
      <name val="Arial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0.5"/>
      <color rgb="FF1F4E78"/>
      <name val="Arial"/>
      <charset val="1"/>
    </font>
    <font>
      <b/>
      <sz val="11"/>
      <color rgb="FFFFFFFF"/>
      <name val="Arial"/>
      <charset val="1"/>
    </font>
    <font>
      <b/>
      <sz val="10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165" fontId="3" fillId="3" borderId="1" xfId="0" applyNumberFormat="1" applyFont="1" applyFill="1" applyBorder="1"/>
    <xf numFmtId="0" fontId="3" fillId="4" borderId="1" xfId="0" applyFont="1" applyFill="1" applyBorder="1"/>
    <xf numFmtId="0" fontId="3" fillId="3" borderId="1" xfId="0" applyFont="1" applyFill="1" applyBorder="1"/>
    <xf numFmtId="164" fontId="3" fillId="4" borderId="1" xfId="0" applyNumberFormat="1" applyFont="1" applyFill="1" applyBorder="1"/>
    <xf numFmtId="0" fontId="9" fillId="0" borderId="0" xfId="0" applyFont="1"/>
    <xf numFmtId="165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0"/>
  <sheetViews>
    <sheetView topLeftCell="A16" zoomScaleNormal="100" workbookViewId="0"/>
  </sheetViews>
  <sheetFormatPr defaultColWidth="8.7109375" defaultRowHeight="15" x14ac:dyDescent="0.25"/>
  <cols>
    <col min="1" max="1" width="3" customWidth="1"/>
    <col min="2" max="2" width="100" customWidth="1"/>
  </cols>
  <sheetData>
    <row r="2" spans="2:2" ht="20.25" x14ac:dyDescent="0.3">
      <c r="B2" s="1" t="s">
        <v>0</v>
      </c>
    </row>
    <row r="4" spans="2:2" x14ac:dyDescent="0.25">
      <c r="B4" s="2" t="s">
        <v>1</v>
      </c>
    </row>
    <row r="6" spans="2:2" x14ac:dyDescent="0.25">
      <c r="B6" s="3" t="s">
        <v>2</v>
      </c>
    </row>
    <row r="7" spans="2:2" x14ac:dyDescent="0.25">
      <c r="B7" s="4" t="s">
        <v>3</v>
      </c>
    </row>
    <row r="8" spans="2:2" x14ac:dyDescent="0.25">
      <c r="B8" s="4" t="s">
        <v>4</v>
      </c>
    </row>
    <row r="9" spans="2:2" x14ac:dyDescent="0.25">
      <c r="B9" s="4" t="s">
        <v>5</v>
      </c>
    </row>
    <row r="10" spans="2:2" x14ac:dyDescent="0.25">
      <c r="B10" s="4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topLeftCell="A25" zoomScaleNormal="100" workbookViewId="0">
      <selection activeCell="C47" sqref="C47"/>
    </sheetView>
  </sheetViews>
  <sheetFormatPr defaultColWidth="8.7109375" defaultRowHeight="15" x14ac:dyDescent="0.25"/>
  <cols>
    <col min="1" max="1" width="18" customWidth="1"/>
    <col min="2" max="2" width="22" customWidth="1"/>
    <col min="3" max="3" width="14" customWidth="1"/>
  </cols>
  <sheetData>
    <row r="1" spans="1:3" ht="18" x14ac:dyDescent="0.25">
      <c r="A1" s="5" t="s">
        <v>7</v>
      </c>
    </row>
    <row r="2" spans="1:3" x14ac:dyDescent="0.25">
      <c r="A2" s="6" t="s">
        <v>8</v>
      </c>
    </row>
    <row r="4" spans="1:3" x14ac:dyDescent="0.25">
      <c r="A4" s="7" t="s">
        <v>9</v>
      </c>
    </row>
    <row r="5" spans="1:3" ht="30" x14ac:dyDescent="0.25">
      <c r="A5" s="8" t="s">
        <v>10</v>
      </c>
      <c r="B5" s="8" t="s">
        <v>11</v>
      </c>
      <c r="C5" s="8" t="s">
        <v>12</v>
      </c>
    </row>
    <row r="6" spans="1:3" x14ac:dyDescent="0.25">
      <c r="A6" s="9" t="s">
        <v>13</v>
      </c>
      <c r="B6" s="9" t="s">
        <v>14</v>
      </c>
      <c r="C6" s="10">
        <v>261.95999999999998</v>
      </c>
    </row>
    <row r="7" spans="1:3" x14ac:dyDescent="0.25">
      <c r="A7" s="9" t="s">
        <v>15</v>
      </c>
      <c r="B7" s="9" t="s">
        <v>14</v>
      </c>
      <c r="C7" s="10">
        <v>731.94</v>
      </c>
    </row>
    <row r="8" spans="1:3" x14ac:dyDescent="0.25">
      <c r="A8" s="9" t="s">
        <v>16</v>
      </c>
      <c r="B8" s="9" t="s">
        <v>17</v>
      </c>
      <c r="C8" s="10">
        <v>14.62</v>
      </c>
    </row>
    <row r="9" spans="1:3" x14ac:dyDescent="0.25">
      <c r="A9" s="9" t="s">
        <v>18</v>
      </c>
      <c r="B9" s="9" t="s">
        <v>14</v>
      </c>
      <c r="C9" s="10">
        <v>957.57749999999999</v>
      </c>
    </row>
    <row r="10" spans="1:3" x14ac:dyDescent="0.25">
      <c r="A10" s="9" t="s">
        <v>19</v>
      </c>
      <c r="B10" s="9" t="s">
        <v>17</v>
      </c>
      <c r="C10" s="10">
        <v>22.367999999999999</v>
      </c>
    </row>
    <row r="11" spans="1:3" x14ac:dyDescent="0.25">
      <c r="A11" s="9" t="s">
        <v>20</v>
      </c>
      <c r="B11" s="9" t="s">
        <v>14</v>
      </c>
      <c r="C11" s="10">
        <v>48.86</v>
      </c>
    </row>
    <row r="12" spans="1:3" x14ac:dyDescent="0.25">
      <c r="A12" s="9" t="s">
        <v>21</v>
      </c>
      <c r="B12" s="9" t="s">
        <v>17</v>
      </c>
      <c r="C12" s="10">
        <v>7.28</v>
      </c>
    </row>
    <row r="13" spans="1:3" x14ac:dyDescent="0.25">
      <c r="A13" s="9" t="s">
        <v>22</v>
      </c>
      <c r="B13" s="9" t="s">
        <v>23</v>
      </c>
      <c r="C13" s="10">
        <v>907.15200000000004</v>
      </c>
    </row>
    <row r="14" spans="1:3" x14ac:dyDescent="0.25">
      <c r="A14" s="9" t="s">
        <v>24</v>
      </c>
      <c r="B14" s="9" t="s">
        <v>17</v>
      </c>
      <c r="C14" s="10">
        <v>18.504000000000001</v>
      </c>
    </row>
    <row r="15" spans="1:3" x14ac:dyDescent="0.25">
      <c r="A15" s="9" t="s">
        <v>25</v>
      </c>
      <c r="B15" s="9" t="s">
        <v>17</v>
      </c>
      <c r="C15" s="10">
        <v>114.9</v>
      </c>
    </row>
    <row r="16" spans="1:3" x14ac:dyDescent="0.25">
      <c r="A16" s="9" t="s">
        <v>26</v>
      </c>
      <c r="B16" s="9" t="s">
        <v>14</v>
      </c>
      <c r="C16" s="10">
        <v>1706.184</v>
      </c>
    </row>
    <row r="17" spans="1:3" x14ac:dyDescent="0.25">
      <c r="A17" s="9" t="s">
        <v>27</v>
      </c>
      <c r="B17" s="9" t="s">
        <v>23</v>
      </c>
      <c r="C17" s="10">
        <v>911.42399999999998</v>
      </c>
    </row>
    <row r="18" spans="1:3" x14ac:dyDescent="0.25">
      <c r="A18" s="9" t="s">
        <v>28</v>
      </c>
      <c r="B18" s="9" t="s">
        <v>17</v>
      </c>
      <c r="C18" s="10">
        <v>15.552</v>
      </c>
    </row>
    <row r="19" spans="1:3" x14ac:dyDescent="0.25">
      <c r="A19" s="9" t="s">
        <v>29</v>
      </c>
      <c r="B19" s="9" t="s">
        <v>17</v>
      </c>
      <c r="C19" s="10">
        <v>407.976</v>
      </c>
    </row>
    <row r="20" spans="1:3" x14ac:dyDescent="0.25">
      <c r="A20" s="9" t="s">
        <v>30</v>
      </c>
      <c r="B20" s="9" t="s">
        <v>17</v>
      </c>
      <c r="C20" s="10">
        <v>68.81</v>
      </c>
    </row>
    <row r="21" spans="1:3" x14ac:dyDescent="0.25">
      <c r="A21" s="9" t="s">
        <v>31</v>
      </c>
      <c r="B21" s="9" t="s">
        <v>17</v>
      </c>
      <c r="C21" s="10">
        <v>2.544</v>
      </c>
    </row>
    <row r="22" spans="1:3" x14ac:dyDescent="0.25">
      <c r="A22" s="9" t="s">
        <v>32</v>
      </c>
      <c r="B22" s="9" t="s">
        <v>17</v>
      </c>
      <c r="C22" s="10">
        <v>665.88</v>
      </c>
    </row>
    <row r="23" spans="1:3" x14ac:dyDescent="0.25">
      <c r="A23" s="9" t="s">
        <v>33</v>
      </c>
      <c r="B23" s="9" t="s">
        <v>17</v>
      </c>
      <c r="C23" s="10">
        <v>55.5</v>
      </c>
    </row>
    <row r="24" spans="1:3" x14ac:dyDescent="0.25">
      <c r="A24" s="9" t="s">
        <v>34</v>
      </c>
      <c r="B24" s="9" t="s">
        <v>17</v>
      </c>
      <c r="C24" s="10">
        <v>8.56</v>
      </c>
    </row>
    <row r="25" spans="1:3" x14ac:dyDescent="0.25">
      <c r="A25" s="9" t="s">
        <v>35</v>
      </c>
      <c r="B25" s="9" t="s">
        <v>23</v>
      </c>
      <c r="C25" s="10">
        <v>213.48</v>
      </c>
    </row>
    <row r="27" spans="1:3" x14ac:dyDescent="0.25">
      <c r="A27" s="7" t="s">
        <v>36</v>
      </c>
    </row>
    <row r="28" spans="1:3" x14ac:dyDescent="0.25">
      <c r="A28" s="9" t="s">
        <v>37</v>
      </c>
      <c r="B28" s="11">
        <v>300</v>
      </c>
    </row>
    <row r="29" spans="1:3" x14ac:dyDescent="0.25">
      <c r="A29" s="9" t="s">
        <v>38</v>
      </c>
      <c r="B29" s="12">
        <f>COUNTIF($C$6:$C$25,"&gt;"&amp;B28)</f>
        <v>7</v>
      </c>
    </row>
    <row r="31" spans="1:3" x14ac:dyDescent="0.25">
      <c r="A31" s="7" t="s">
        <v>39</v>
      </c>
    </row>
    <row r="32" spans="1:3" x14ac:dyDescent="0.25">
      <c r="A32" s="9" t="s">
        <v>40</v>
      </c>
      <c r="B32" s="13" t="s">
        <v>18</v>
      </c>
    </row>
    <row r="33" spans="1:2" x14ac:dyDescent="0.25">
      <c r="A33" s="9" t="s">
        <v>41</v>
      </c>
      <c r="B33" s="14">
        <f>SUMIF($A$6:$A$25,B32,$C$6:$C$25)</f>
        <v>957.57749999999999</v>
      </c>
    </row>
    <row r="35" spans="1:2" x14ac:dyDescent="0.25">
      <c r="A35" s="7" t="s">
        <v>42</v>
      </c>
    </row>
    <row r="36" spans="1:2" ht="30" x14ac:dyDescent="0.25">
      <c r="A36" s="8" t="s">
        <v>11</v>
      </c>
      <c r="B36" s="8" t="s">
        <v>43</v>
      </c>
    </row>
    <row r="37" spans="1:2" x14ac:dyDescent="0.25">
      <c r="A37" s="9" t="s">
        <v>14</v>
      </c>
      <c r="B37" s="10">
        <f>AVERAGEIF($B$6:$B$25,A37,$C$6:$C$25)</f>
        <v>741.30430000000001</v>
      </c>
    </row>
    <row r="38" spans="1:2" x14ac:dyDescent="0.25">
      <c r="A38" s="9" t="s">
        <v>17</v>
      </c>
      <c r="B38" s="10">
        <f>AVERAGEIF($B$6:$B$25,A38,$C$6:$C$25)</f>
        <v>116.8745</v>
      </c>
    </row>
    <row r="39" spans="1:2" x14ac:dyDescent="0.25">
      <c r="A39" s="9" t="s">
        <v>23</v>
      </c>
      <c r="B39" s="10">
        <f>AVERAGEIF($B$6:$B$25,A39,$C$6:$C$25)</f>
        <v>677.35199999999998</v>
      </c>
    </row>
    <row r="41" spans="1:2" x14ac:dyDescent="0.25">
      <c r="A41" s="15"/>
    </row>
    <row r="42" spans="1:2" x14ac:dyDescent="0.25">
      <c r="A42" s="6"/>
    </row>
    <row r="43" spans="1:2" x14ac:dyDescent="0.25">
      <c r="A43" s="6"/>
    </row>
    <row r="44" spans="1:2" x14ac:dyDescent="0.25">
      <c r="A44" s="6"/>
    </row>
    <row r="45" spans="1:2" x14ac:dyDescent="0.25">
      <c r="A45" s="6"/>
    </row>
    <row r="46" spans="1:2" x14ac:dyDescent="0.25">
      <c r="A46" s="6"/>
    </row>
    <row r="47" spans="1:2" x14ac:dyDescent="0.25">
      <c r="A47" s="6"/>
    </row>
    <row r="48" spans="1:2" x14ac:dyDescent="0.25">
      <c r="A48" s="6"/>
    </row>
    <row r="49" spans="1:1" x14ac:dyDescent="0.25">
      <c r="A49" s="6"/>
    </row>
    <row r="50" spans="1:1" x14ac:dyDescent="0.25">
      <c r="A50" s="6"/>
    </row>
    <row r="51" spans="1:1" x14ac:dyDescent="0.25">
      <c r="A51" s="6"/>
    </row>
    <row r="52" spans="1:1" x14ac:dyDescent="0.25">
      <c r="A52" s="6"/>
    </row>
    <row r="53" spans="1:1" x14ac:dyDescent="0.25">
      <c r="A53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8"/>
  <sheetViews>
    <sheetView tabSelected="1" topLeftCell="A34" zoomScaleNormal="100" workbookViewId="0">
      <selection activeCell="E52" sqref="E52"/>
    </sheetView>
  </sheetViews>
  <sheetFormatPr defaultColWidth="8.7109375" defaultRowHeight="15" x14ac:dyDescent="0.25"/>
  <cols>
    <col min="1" max="1" width="12" customWidth="1"/>
    <col min="2" max="2" width="16" customWidth="1"/>
    <col min="3" max="3" width="12" customWidth="1"/>
    <col min="4" max="4" width="18" customWidth="1"/>
    <col min="5" max="5" width="16" customWidth="1"/>
  </cols>
  <sheetData>
    <row r="1" spans="1:4" ht="18" x14ac:dyDescent="0.25">
      <c r="A1" s="5" t="s">
        <v>44</v>
      </c>
    </row>
    <row r="2" spans="1:4" x14ac:dyDescent="0.25">
      <c r="A2" s="6" t="s">
        <v>45</v>
      </c>
    </row>
    <row r="4" spans="1:4" x14ac:dyDescent="0.25">
      <c r="A4" s="7" t="s">
        <v>46</v>
      </c>
    </row>
    <row r="5" spans="1:4" ht="30" x14ac:dyDescent="0.25">
      <c r="A5" s="8" t="s">
        <v>10</v>
      </c>
      <c r="B5" s="8" t="s">
        <v>47</v>
      </c>
      <c r="C5" s="8" t="s">
        <v>11</v>
      </c>
      <c r="D5" s="8" t="s">
        <v>48</v>
      </c>
    </row>
    <row r="6" spans="1:4" x14ac:dyDescent="0.25">
      <c r="A6" s="9" t="s">
        <v>49</v>
      </c>
      <c r="B6" s="9" t="s">
        <v>50</v>
      </c>
      <c r="C6" s="9" t="s">
        <v>14</v>
      </c>
      <c r="D6" s="10">
        <v>261.95999999999998</v>
      </c>
    </row>
    <row r="7" spans="1:4" x14ac:dyDescent="0.25">
      <c r="A7" s="9" t="s">
        <v>51</v>
      </c>
      <c r="B7" s="9" t="s">
        <v>50</v>
      </c>
      <c r="C7" s="9" t="s">
        <v>14</v>
      </c>
      <c r="D7" s="10">
        <v>731.94</v>
      </c>
    </row>
    <row r="8" spans="1:4" x14ac:dyDescent="0.25">
      <c r="A8" s="9" t="s">
        <v>52</v>
      </c>
      <c r="B8" s="9" t="s">
        <v>53</v>
      </c>
      <c r="C8" s="9" t="s">
        <v>17</v>
      </c>
      <c r="D8" s="10">
        <v>14.62</v>
      </c>
    </row>
    <row r="9" spans="1:4" x14ac:dyDescent="0.25">
      <c r="A9" s="9" t="s">
        <v>54</v>
      </c>
      <c r="B9" s="9" t="s">
        <v>50</v>
      </c>
      <c r="C9" s="9" t="s">
        <v>14</v>
      </c>
      <c r="D9" s="10">
        <v>957.57749999999999</v>
      </c>
    </row>
    <row r="10" spans="1:4" x14ac:dyDescent="0.25">
      <c r="A10" s="9" t="s">
        <v>55</v>
      </c>
      <c r="B10" s="9" t="s">
        <v>50</v>
      </c>
      <c r="C10" s="9" t="s">
        <v>17</v>
      </c>
      <c r="D10" s="10">
        <v>22.367999999999999</v>
      </c>
    </row>
    <row r="11" spans="1:4" x14ac:dyDescent="0.25">
      <c r="A11" s="9" t="s">
        <v>56</v>
      </c>
      <c r="B11" s="9" t="s">
        <v>53</v>
      </c>
      <c r="C11" s="9" t="s">
        <v>14</v>
      </c>
      <c r="D11" s="10">
        <v>48.86</v>
      </c>
    </row>
    <row r="12" spans="1:4" x14ac:dyDescent="0.25">
      <c r="A12" s="9" t="s">
        <v>21</v>
      </c>
      <c r="B12" s="9" t="s">
        <v>53</v>
      </c>
      <c r="C12" s="9" t="s">
        <v>17</v>
      </c>
      <c r="D12" s="10">
        <v>7.28</v>
      </c>
    </row>
    <row r="13" spans="1:4" x14ac:dyDescent="0.25">
      <c r="A13" s="9" t="s">
        <v>57</v>
      </c>
      <c r="B13" s="9" t="s">
        <v>53</v>
      </c>
      <c r="C13" s="9" t="s">
        <v>23</v>
      </c>
      <c r="D13" s="10">
        <v>907.15200000000004</v>
      </c>
    </row>
    <row r="14" spans="1:4" x14ac:dyDescent="0.25">
      <c r="A14" s="9" t="s">
        <v>58</v>
      </c>
      <c r="B14" s="9" t="s">
        <v>53</v>
      </c>
      <c r="C14" s="9" t="s">
        <v>17</v>
      </c>
      <c r="D14" s="10">
        <v>18.504000000000001</v>
      </c>
    </row>
    <row r="15" spans="1:4" x14ac:dyDescent="0.25">
      <c r="A15" s="9" t="s">
        <v>59</v>
      </c>
      <c r="B15" s="9" t="s">
        <v>53</v>
      </c>
      <c r="C15" s="9" t="s">
        <v>17</v>
      </c>
      <c r="D15" s="10">
        <v>114.9</v>
      </c>
    </row>
    <row r="16" spans="1:4" x14ac:dyDescent="0.25">
      <c r="A16" s="9" t="s">
        <v>60</v>
      </c>
      <c r="B16" s="9" t="s">
        <v>53</v>
      </c>
      <c r="C16" s="9" t="s">
        <v>14</v>
      </c>
      <c r="D16" s="10">
        <v>1706.184</v>
      </c>
    </row>
    <row r="17" spans="1:4" x14ac:dyDescent="0.25">
      <c r="A17" s="9" t="s">
        <v>61</v>
      </c>
      <c r="B17" s="9" t="s">
        <v>53</v>
      </c>
      <c r="C17" s="9" t="s">
        <v>23</v>
      </c>
      <c r="D17" s="10">
        <v>911.42399999999998</v>
      </c>
    </row>
    <row r="18" spans="1:4" x14ac:dyDescent="0.25">
      <c r="A18" s="9" t="s">
        <v>28</v>
      </c>
      <c r="B18" s="9" t="s">
        <v>50</v>
      </c>
      <c r="C18" s="9" t="s">
        <v>17</v>
      </c>
      <c r="D18" s="10">
        <v>15.552</v>
      </c>
    </row>
    <row r="19" spans="1:4" x14ac:dyDescent="0.25">
      <c r="A19" s="9" t="s">
        <v>62</v>
      </c>
      <c r="B19" s="9" t="s">
        <v>53</v>
      </c>
      <c r="C19" s="9" t="s">
        <v>17</v>
      </c>
      <c r="D19" s="10">
        <v>407.976</v>
      </c>
    </row>
    <row r="20" spans="1:4" x14ac:dyDescent="0.25">
      <c r="A20" s="9" t="s">
        <v>63</v>
      </c>
      <c r="B20" s="9" t="s">
        <v>64</v>
      </c>
      <c r="C20" s="9" t="s">
        <v>17</v>
      </c>
      <c r="D20" s="10">
        <v>68.81</v>
      </c>
    </row>
    <row r="21" spans="1:4" x14ac:dyDescent="0.25">
      <c r="A21" s="9" t="s">
        <v>65</v>
      </c>
      <c r="B21" s="9" t="s">
        <v>64</v>
      </c>
      <c r="C21" s="9" t="s">
        <v>17</v>
      </c>
      <c r="D21" s="10">
        <v>2.544</v>
      </c>
    </row>
    <row r="22" spans="1:4" x14ac:dyDescent="0.25">
      <c r="A22" s="9" t="s">
        <v>66</v>
      </c>
      <c r="B22" s="9" t="s">
        <v>64</v>
      </c>
      <c r="C22" s="9" t="s">
        <v>17</v>
      </c>
      <c r="D22" s="10">
        <v>665.88</v>
      </c>
    </row>
    <row r="23" spans="1:4" x14ac:dyDescent="0.25">
      <c r="A23" s="9" t="s">
        <v>33</v>
      </c>
      <c r="B23" s="9" t="s">
        <v>53</v>
      </c>
      <c r="C23" s="9" t="s">
        <v>17</v>
      </c>
      <c r="D23" s="10">
        <v>55.5</v>
      </c>
    </row>
    <row r="24" spans="1:4" x14ac:dyDescent="0.25">
      <c r="A24" s="9" t="s">
        <v>34</v>
      </c>
      <c r="B24" s="9" t="s">
        <v>53</v>
      </c>
      <c r="C24" s="9" t="s">
        <v>17</v>
      </c>
      <c r="D24" s="10">
        <v>8.56</v>
      </c>
    </row>
    <row r="25" spans="1:4" x14ac:dyDescent="0.25">
      <c r="A25" s="9" t="s">
        <v>35</v>
      </c>
      <c r="B25" s="9" t="s">
        <v>53</v>
      </c>
      <c r="C25" s="9" t="s">
        <v>23</v>
      </c>
      <c r="D25" s="10">
        <v>213.48</v>
      </c>
    </row>
    <row r="27" spans="1:4" x14ac:dyDescent="0.25">
      <c r="A27" s="7" t="s">
        <v>67</v>
      </c>
    </row>
    <row r="28" spans="1:4" ht="45" x14ac:dyDescent="0.25">
      <c r="A28" s="8" t="s">
        <v>47</v>
      </c>
      <c r="B28" s="8" t="s">
        <v>11</v>
      </c>
      <c r="C28" s="8" t="s">
        <v>68</v>
      </c>
    </row>
    <row r="29" spans="1:4" x14ac:dyDescent="0.25">
      <c r="A29" s="9" t="s">
        <v>53</v>
      </c>
      <c r="B29" s="9" t="s">
        <v>17</v>
      </c>
      <c r="C29" s="9">
        <f>COUNTIFS($B$6:$B$25,A29,$C$6:$C$25,B29)</f>
        <v>7</v>
      </c>
    </row>
    <row r="30" spans="1:4" x14ac:dyDescent="0.25">
      <c r="A30" s="9" t="s">
        <v>50</v>
      </c>
      <c r="B30" s="9" t="s">
        <v>14</v>
      </c>
      <c r="C30" s="9">
        <f>COUNTIFS($B$6:$B$25,A30,$C$6:$C$25,B30)</f>
        <v>3</v>
      </c>
    </row>
    <row r="31" spans="1:4" x14ac:dyDescent="0.25">
      <c r="A31" s="9" t="s">
        <v>53</v>
      </c>
      <c r="B31" s="9" t="s">
        <v>23</v>
      </c>
      <c r="C31" s="9">
        <f>COUNTIFS($B$6:$B$25,A31,$C$6:$C$25,B31)</f>
        <v>3</v>
      </c>
    </row>
    <row r="33" spans="1:5" x14ac:dyDescent="0.25">
      <c r="A33" s="7" t="s">
        <v>69</v>
      </c>
    </row>
    <row r="34" spans="1:5" ht="45" x14ac:dyDescent="0.25">
      <c r="A34" s="8" t="s">
        <v>47</v>
      </c>
      <c r="B34" s="8" t="s">
        <v>11</v>
      </c>
      <c r="C34" s="8" t="s">
        <v>70</v>
      </c>
    </row>
    <row r="35" spans="1:5" x14ac:dyDescent="0.25">
      <c r="A35" s="9" t="s">
        <v>53</v>
      </c>
      <c r="B35" s="9" t="s">
        <v>17</v>
      </c>
      <c r="C35" s="10">
        <f>SUMIFS($D$6:$D$25,$B$6:$B$25,A35,$C$6:$C$25,B35)</f>
        <v>627.33999999999992</v>
      </c>
    </row>
    <row r="36" spans="1:5" x14ac:dyDescent="0.25">
      <c r="A36" s="9" t="s">
        <v>50</v>
      </c>
      <c r="B36" s="9" t="s">
        <v>14</v>
      </c>
      <c r="C36" s="10">
        <f>SUMIFS($D$6:$D$25,$B$6:$B$25,A36,$C$6:$C$25,B36)</f>
        <v>1951.4775</v>
      </c>
    </row>
    <row r="37" spans="1:5" x14ac:dyDescent="0.25">
      <c r="A37" s="9" t="s">
        <v>53</v>
      </c>
      <c r="B37" s="9" t="s">
        <v>23</v>
      </c>
      <c r="C37" s="10">
        <f>SUMIFS($D$6:$D$25,$B$6:$B$25,A37,$C$6:$C$25,B37)</f>
        <v>2032.056</v>
      </c>
    </row>
    <row r="39" spans="1:5" x14ac:dyDescent="0.25">
      <c r="A39" s="7" t="s">
        <v>71</v>
      </c>
    </row>
    <row r="40" spans="1:5" ht="30" x14ac:dyDescent="0.25">
      <c r="A40" s="8" t="s">
        <v>47</v>
      </c>
      <c r="B40" s="8" t="s">
        <v>11</v>
      </c>
      <c r="C40" s="8" t="s">
        <v>72</v>
      </c>
      <c r="D40" s="8" t="s">
        <v>73</v>
      </c>
      <c r="E40" s="8" t="s">
        <v>74</v>
      </c>
    </row>
    <row r="41" spans="1:5" x14ac:dyDescent="0.25">
      <c r="A41" s="9" t="s">
        <v>53</v>
      </c>
      <c r="B41" s="9" t="s">
        <v>17</v>
      </c>
      <c r="C41" s="16">
        <v>50</v>
      </c>
      <c r="D41" s="9">
        <f>COUNTIFS($B$6:$B$25,A41,$C$6:$C$25,B41,$D$6:$D$25,"&gt;="&amp;C41)</f>
        <v>3</v>
      </c>
      <c r="E41" s="10">
        <f>SUMIFS($D$6:$D$25,$B$6:$B$25,A41,$C$6:$C$25,B41,$D$6:$D$25,"&gt;="&amp;C41)</f>
        <v>578.37599999999998</v>
      </c>
    </row>
    <row r="42" spans="1:5" x14ac:dyDescent="0.25">
      <c r="A42" s="9" t="s">
        <v>50</v>
      </c>
      <c r="B42" s="9" t="s">
        <v>14</v>
      </c>
      <c r="C42" s="16">
        <v>100</v>
      </c>
      <c r="D42" s="9">
        <f>COUNTIFS($B$6:$B$25,A42,$C$6:$C$25,B42,$D$6:$D$25,"&gt;="&amp;C42)</f>
        <v>3</v>
      </c>
      <c r="E42" s="10">
        <f>SUMIFS($D$6:$D$25,$B$6:$B$25,A42,$C$6:$C$25,B42,$D$6:$D$25,"&gt;="&amp;C42)</f>
        <v>1951.4775</v>
      </c>
    </row>
    <row r="43" spans="1:5" x14ac:dyDescent="0.25">
      <c r="A43" s="9" t="s">
        <v>53</v>
      </c>
      <c r="B43" s="9" t="s">
        <v>23</v>
      </c>
      <c r="C43" s="16">
        <v>200</v>
      </c>
      <c r="D43" s="9">
        <f>COUNTIFS($B$6:$B$25,A43,$C$6:$C$25,B43,$D$6:$D$25,"&gt;="&amp;C43)</f>
        <v>3</v>
      </c>
      <c r="E43" s="10">
        <f>SUMIFS($D$6:$D$25,$B$6:$B$25,A43,$C$6:$C$25,B43,$D$6:$D$25,"&gt;="&amp;C43)</f>
        <v>2032.056</v>
      </c>
    </row>
    <row r="45" spans="1:5" x14ac:dyDescent="0.25">
      <c r="A45" s="15"/>
    </row>
    <row r="46" spans="1:5" x14ac:dyDescent="0.25">
      <c r="A46" s="6"/>
    </row>
    <row r="47" spans="1:5" x14ac:dyDescent="0.25">
      <c r="A47" s="6"/>
    </row>
    <row r="48" spans="1:5" x14ac:dyDescent="0.25">
      <c r="A48" s="6"/>
    </row>
    <row r="49" spans="1:1" x14ac:dyDescent="0.25">
      <c r="A49" s="6"/>
    </row>
    <row r="50" spans="1:1" x14ac:dyDescent="0.25">
      <c r="A50" s="6"/>
    </row>
    <row r="51" spans="1:1" x14ac:dyDescent="0.25">
      <c r="A51" s="6"/>
    </row>
    <row r="52" spans="1:1" x14ac:dyDescent="0.25">
      <c r="A52" s="6"/>
    </row>
    <row r="53" spans="1:1" x14ac:dyDescent="0.25">
      <c r="A53" s="6"/>
    </row>
    <row r="54" spans="1:1" x14ac:dyDescent="0.25">
      <c r="A54" s="6"/>
    </row>
    <row r="55" spans="1:1" x14ac:dyDescent="0.25">
      <c r="A55" s="6"/>
    </row>
    <row r="56" spans="1:1" x14ac:dyDescent="0.25">
      <c r="A56" s="6"/>
    </row>
    <row r="57" spans="1:1" x14ac:dyDescent="0.25">
      <c r="A57" s="6"/>
    </row>
    <row r="58" spans="1:1" x14ac:dyDescent="0.25">
      <c r="A58" s="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1. COUNTIF SUMIF AVERAGEIF</vt:lpstr>
      <vt:lpstr>2. COUNTIFS &amp; SUMIFS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2026-09-24T07:33:55Z</dcterms:created>
  <dcterms:modified xsi:type="dcterms:W3CDTF">2026-10-02T06:42:55Z</dcterms:modified>
  <dc:language>en-US</dc:language>
</cp:coreProperties>
</file>