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FA624811-F7E8-487C-9985-D0146AB406DF}" xr6:coauthVersionLast="36" xr6:coauthVersionMax="36" xr10:uidLastSave="{00000000-0000-0000-0000-000000000000}"/>
  <bookViews>
    <workbookView xWindow="0" yWindow="0" windowWidth="28800" windowHeight="12105" tabRatio="500" activeTab="2" xr2:uid="{00000000-000D-0000-FFFF-FFFF00000000}"/>
  </bookViews>
  <sheets>
    <sheet name="Cover" sheetId="1" r:id="rId1"/>
    <sheet name="1. Basic Logical Formulas" sheetId="2" r:id="rId2"/>
    <sheet name="2. Multiple Logical Formula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3" l="1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</calcChain>
</file>

<file path=xl/sharedStrings.xml><?xml version="1.0" encoding="utf-8"?>
<sst xmlns="http://schemas.openxmlformats.org/spreadsheetml/2006/main" count="107" uniqueCount="51">
  <si>
    <t>Excel Practical Assignment — Section 5: Logical Functions</t>
  </si>
  <si>
    <t>Dataset used: Superstore Sales (Orders sheet), plus two deliberate "bad data" test rows</t>
  </si>
  <si>
    <t>(highlighted in yellow) to demonstrate IFERROR catching real formula errors.</t>
  </si>
  <si>
    <t>Sheets in this workbook:</t>
  </si>
  <si>
    <t>1. Basic Logical Formulas -&gt; IF classification, AND (multi-criteria), OR (any condition),</t>
  </si>
  <si>
    <t xml:space="preserve">   combined IF+AND, and IFERROR handling a #DIV/0! error</t>
  </si>
  <si>
    <t>2. Multiple Logical Formulas -&gt; Nested IF on numeric data (Quantity &amp; Discount tiers), and a</t>
  </si>
  <si>
    <t xml:space="preserve">   comprehensive IF+AND+OR+IFERROR test that also catches a #VALUE! error from bad text data</t>
  </si>
  <si>
    <t>Section 5.1 — Basic Logical Formulas</t>
  </si>
  <si>
    <t>Tasks 1-5: IF classification, AND (multi-criteria), OR (any condition), Combined IF+AND, IFERROR</t>
  </si>
  <si>
    <t>Product Name</t>
  </si>
  <si>
    <t>Category</t>
  </si>
  <si>
    <t>Region</t>
  </si>
  <si>
    <t>Sales</t>
  </si>
  <si>
    <t>Profit</t>
  </si>
  <si>
    <t>Discount</t>
  </si>
  <si>
    <t>Task 1: IF
(Sales &gt;= $300 -&gt; High/Low)</t>
  </si>
  <si>
    <t>Task 2: AND
(Sales&gt;=200 AND Profit&gt;0)</t>
  </si>
  <si>
    <t>Task 3: OR
(Sales&gt;=500 OR Discount&gt;=30%)</t>
  </si>
  <si>
    <t>Task 4: IF+AND combined
(High Sale &amp; Profitable?)</t>
  </si>
  <si>
    <t>Task 5: IFERROR
(Profit Margin = Profit/Sales)</t>
  </si>
  <si>
    <t>Bush Somerset Collection Bookcase</t>
  </si>
  <si>
    <t>Furniture</t>
  </si>
  <si>
    <t>South</t>
  </si>
  <si>
    <t>Hon Deluxe Fabric Upholstered Stac</t>
  </si>
  <si>
    <t>Self-Adhesive Address Labels for T</t>
  </si>
  <si>
    <t>Office Supplies</t>
  </si>
  <si>
    <t>West</t>
  </si>
  <si>
    <t>Bretford CR4500 Series Slim Rectan</t>
  </si>
  <si>
    <t>Eldon Fold 'N Roll Cart System</t>
  </si>
  <si>
    <t>Eldon Expressions Wood and Plastic</t>
  </si>
  <si>
    <t>Newell 322</t>
  </si>
  <si>
    <t>Mitel 5320 IP Phone VoIP phone</t>
  </si>
  <si>
    <t>Technology</t>
  </si>
  <si>
    <t>DXL Angle-View Binders with Lockin</t>
  </si>
  <si>
    <t>Belkin F5C206VTEL 6 Outlet Surge</t>
  </si>
  <si>
    <t xml:space="preserve">Chromcraft Rectangular Conference </t>
  </si>
  <si>
    <t>Konftel 250 Conference phone - Cha</t>
  </si>
  <si>
    <t>Xerox 1967</t>
  </si>
  <si>
    <t>Fellowes PB200 Plastic Comb Bindin</t>
  </si>
  <si>
    <t>Test Row - Zero Sales (for IFERROR demo)</t>
  </si>
  <si>
    <t>East</t>
  </si>
  <si>
    <t>Section 5.2 — Using Multiple Logical Formulas (IF, AND, OR, IFERROR on Text, Numbers &amp; Errors)</t>
  </si>
  <si>
    <t>Task 4: Logical tests on numerical data  |  Task 5: Comprehensive IF+AND+OR+IFERROR test</t>
  </si>
  <si>
    <t>Quantity</t>
  </si>
  <si>
    <t>Sales (may contain bad data)</t>
  </si>
  <si>
    <t>Task 4a: Quantity Tier
(nested IF, numeric)</t>
  </si>
  <si>
    <t>Task 4b: Discount Tier
(nested IF, numeric)</t>
  </si>
  <si>
    <t>Task 5: Comprehensive Test
(IF+AND+OR+IFERROR)</t>
  </si>
  <si>
    <t>Test Row - Invalid Sales Text (for IFERROR demo)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</si>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</sst>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9" fontId="4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9" fontId="4" fillId="3" borderId="1" xfId="0" applyNumberFormat="1" applyFont="1" applyFill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5" spans="2:2" x14ac:dyDescent="0.25">
      <c r="B5" s="2" t="s">
        <v>2</v>
      </c>
    </row>
    <row r="7" spans="2:2" x14ac:dyDescent="0.25">
      <c r="B7" s="3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zoomScaleNormal="100" workbookViewId="0">
      <selection activeCell="D28" sqref="D28"/>
    </sheetView>
  </sheetViews>
  <sheetFormatPr defaultColWidth="8.7109375" defaultRowHeight="15" x14ac:dyDescent="0.25"/>
  <cols>
    <col min="1" max="1" width="28" customWidth="1"/>
    <col min="2" max="2" width="14" customWidth="1"/>
    <col min="3" max="3" width="10" customWidth="1"/>
    <col min="4" max="5" width="11" customWidth="1"/>
    <col min="6" max="6" width="10" customWidth="1"/>
    <col min="7" max="8" width="16" customWidth="1"/>
    <col min="9" max="9" width="17" customWidth="1"/>
    <col min="10" max="10" width="18" customWidth="1"/>
    <col min="11" max="11" width="17" customWidth="1"/>
  </cols>
  <sheetData>
    <row r="1" spans="1:11" ht="18" x14ac:dyDescent="0.25">
      <c r="A1" s="5" t="s">
        <v>8</v>
      </c>
    </row>
    <row r="2" spans="1:11" x14ac:dyDescent="0.25">
      <c r="A2" s="6" t="s">
        <v>9</v>
      </c>
    </row>
    <row r="4" spans="1:11" ht="39.75" customHeight="1" x14ac:dyDescent="0.25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7" t="s">
        <v>19</v>
      </c>
      <c r="K4" s="7" t="s">
        <v>20</v>
      </c>
    </row>
    <row r="5" spans="1:11" x14ac:dyDescent="0.25">
      <c r="A5" s="8" t="s">
        <v>21</v>
      </c>
      <c r="B5" s="8" t="s">
        <v>22</v>
      </c>
      <c r="C5" s="8" t="s">
        <v>23</v>
      </c>
      <c r="D5" s="9">
        <v>261.95999999999998</v>
      </c>
      <c r="E5" s="9">
        <v>41.913600000000002</v>
      </c>
      <c r="F5" s="10">
        <v>0</v>
      </c>
      <c r="G5" s="8" t="str">
        <f t="shared" ref="G5:G19" si="0">IF(D5&gt;=300,"High","Low")</f>
        <v>Low</v>
      </c>
      <c r="H5" s="11" t="b">
        <f t="shared" ref="H5:H19" si="1">AND(D5&gt;=200,E5&gt;0)</f>
        <v>1</v>
      </c>
      <c r="I5" s="11" t="b">
        <f t="shared" ref="I5:I19" si="2">OR(D5&gt;=500,F5&gt;=0.3)</f>
        <v>0</v>
      </c>
      <c r="J5" s="8" t="str">
        <f t="shared" ref="J5:J19" si="3">IF(AND(D5&gt;=300,E5&gt;0),"Profitable High Sale","Other")</f>
        <v>Other</v>
      </c>
      <c r="K5" s="12">
        <f t="shared" ref="K5:K19" si="4">IFERROR(E5/D5,"N/A (zero sales)")</f>
        <v>0.16000000000000003</v>
      </c>
    </row>
    <row r="6" spans="1:11" x14ac:dyDescent="0.25">
      <c r="A6" s="8" t="s">
        <v>24</v>
      </c>
      <c r="B6" s="8" t="s">
        <v>22</v>
      </c>
      <c r="C6" s="8" t="s">
        <v>23</v>
      </c>
      <c r="D6" s="9">
        <v>731.94</v>
      </c>
      <c r="E6" s="9">
        <v>219.58199999999999</v>
      </c>
      <c r="F6" s="10">
        <v>0</v>
      </c>
      <c r="G6" s="8" t="str">
        <f t="shared" si="0"/>
        <v>High</v>
      </c>
      <c r="H6" s="11" t="b">
        <f t="shared" si="1"/>
        <v>1</v>
      </c>
      <c r="I6" s="11" t="b">
        <f t="shared" si="2"/>
        <v>1</v>
      </c>
      <c r="J6" s="8" t="str">
        <f t="shared" si="3"/>
        <v>Profitable High Sale</v>
      </c>
      <c r="K6" s="12">
        <f t="shared" si="4"/>
        <v>0.3</v>
      </c>
    </row>
    <row r="7" spans="1:11" x14ac:dyDescent="0.25">
      <c r="A7" s="8" t="s">
        <v>25</v>
      </c>
      <c r="B7" s="8" t="s">
        <v>26</v>
      </c>
      <c r="C7" s="8" t="s">
        <v>27</v>
      </c>
      <c r="D7" s="9">
        <v>14.62</v>
      </c>
      <c r="E7" s="9">
        <v>6.8714000000000004</v>
      </c>
      <c r="F7" s="10">
        <v>0</v>
      </c>
      <c r="G7" s="8" t="str">
        <f t="shared" si="0"/>
        <v>Low</v>
      </c>
      <c r="H7" s="11" t="b">
        <f t="shared" si="1"/>
        <v>0</v>
      </c>
      <c r="I7" s="11" t="b">
        <f t="shared" si="2"/>
        <v>0</v>
      </c>
      <c r="J7" s="8" t="str">
        <f t="shared" si="3"/>
        <v>Other</v>
      </c>
      <c r="K7" s="12">
        <f t="shared" si="4"/>
        <v>0.47000000000000003</v>
      </c>
    </row>
    <row r="8" spans="1:11" x14ac:dyDescent="0.25">
      <c r="A8" s="8" t="s">
        <v>28</v>
      </c>
      <c r="B8" s="8" t="s">
        <v>22</v>
      </c>
      <c r="C8" s="8" t="s">
        <v>23</v>
      </c>
      <c r="D8" s="9">
        <v>957.57749999999999</v>
      </c>
      <c r="E8" s="9">
        <v>-383.03100000000001</v>
      </c>
      <c r="F8" s="10">
        <v>0.45</v>
      </c>
      <c r="G8" s="8" t="str">
        <f t="shared" si="0"/>
        <v>High</v>
      </c>
      <c r="H8" s="11" t="b">
        <f t="shared" si="1"/>
        <v>0</v>
      </c>
      <c r="I8" s="11" t="b">
        <f t="shared" si="2"/>
        <v>1</v>
      </c>
      <c r="J8" s="8" t="str">
        <f t="shared" si="3"/>
        <v>Other</v>
      </c>
      <c r="K8" s="12">
        <f t="shared" si="4"/>
        <v>-0.4</v>
      </c>
    </row>
    <row r="9" spans="1:11" x14ac:dyDescent="0.25">
      <c r="A9" s="8" t="s">
        <v>29</v>
      </c>
      <c r="B9" s="8" t="s">
        <v>26</v>
      </c>
      <c r="C9" s="8" t="s">
        <v>23</v>
      </c>
      <c r="D9" s="9">
        <v>22.367999999999999</v>
      </c>
      <c r="E9" s="9">
        <v>2.5164</v>
      </c>
      <c r="F9" s="10">
        <v>0.2</v>
      </c>
      <c r="G9" s="8" t="str">
        <f t="shared" si="0"/>
        <v>Low</v>
      </c>
      <c r="H9" s="11" t="b">
        <f t="shared" si="1"/>
        <v>0</v>
      </c>
      <c r="I9" s="11" t="b">
        <f t="shared" si="2"/>
        <v>0</v>
      </c>
      <c r="J9" s="8" t="str">
        <f t="shared" si="3"/>
        <v>Other</v>
      </c>
      <c r="K9" s="12">
        <f t="shared" si="4"/>
        <v>0.1125</v>
      </c>
    </row>
    <row r="10" spans="1:11" x14ac:dyDescent="0.25">
      <c r="A10" s="8" t="s">
        <v>30</v>
      </c>
      <c r="B10" s="8" t="s">
        <v>22</v>
      </c>
      <c r="C10" s="8" t="s">
        <v>27</v>
      </c>
      <c r="D10" s="9">
        <v>48.86</v>
      </c>
      <c r="E10" s="9">
        <v>14.1694</v>
      </c>
      <c r="F10" s="10">
        <v>0</v>
      </c>
      <c r="G10" s="8" t="str">
        <f t="shared" si="0"/>
        <v>Low</v>
      </c>
      <c r="H10" s="11" t="b">
        <f t="shared" si="1"/>
        <v>0</v>
      </c>
      <c r="I10" s="11" t="b">
        <f t="shared" si="2"/>
        <v>0</v>
      </c>
      <c r="J10" s="8" t="str">
        <f t="shared" si="3"/>
        <v>Other</v>
      </c>
      <c r="K10" s="12">
        <f t="shared" si="4"/>
        <v>0.28999999999999998</v>
      </c>
    </row>
    <row r="11" spans="1:11" x14ac:dyDescent="0.25">
      <c r="A11" s="8" t="s">
        <v>31</v>
      </c>
      <c r="B11" s="8" t="s">
        <v>26</v>
      </c>
      <c r="C11" s="8" t="s">
        <v>27</v>
      </c>
      <c r="D11" s="9">
        <v>7.28</v>
      </c>
      <c r="E11" s="9">
        <v>1.9656</v>
      </c>
      <c r="F11" s="10">
        <v>0</v>
      </c>
      <c r="G11" s="8" t="str">
        <f t="shared" si="0"/>
        <v>Low</v>
      </c>
      <c r="H11" s="11" t="b">
        <f t="shared" si="1"/>
        <v>0</v>
      </c>
      <c r="I11" s="11" t="b">
        <f t="shared" si="2"/>
        <v>0</v>
      </c>
      <c r="J11" s="8" t="str">
        <f t="shared" si="3"/>
        <v>Other</v>
      </c>
      <c r="K11" s="12">
        <f t="shared" si="4"/>
        <v>0.27</v>
      </c>
    </row>
    <row r="12" spans="1:11" x14ac:dyDescent="0.25">
      <c r="A12" s="8" t="s">
        <v>32</v>
      </c>
      <c r="B12" s="8" t="s">
        <v>33</v>
      </c>
      <c r="C12" s="8" t="s">
        <v>27</v>
      </c>
      <c r="D12" s="9">
        <v>907.15200000000004</v>
      </c>
      <c r="E12" s="9">
        <v>90.715199999999996</v>
      </c>
      <c r="F12" s="10">
        <v>0.2</v>
      </c>
      <c r="G12" s="8" t="str">
        <f t="shared" si="0"/>
        <v>High</v>
      </c>
      <c r="H12" s="11" t="b">
        <f t="shared" si="1"/>
        <v>1</v>
      </c>
      <c r="I12" s="11" t="b">
        <f t="shared" si="2"/>
        <v>1</v>
      </c>
      <c r="J12" s="8" t="str">
        <f t="shared" si="3"/>
        <v>Profitable High Sale</v>
      </c>
      <c r="K12" s="12">
        <f t="shared" si="4"/>
        <v>9.9999999999999992E-2</v>
      </c>
    </row>
    <row r="13" spans="1:11" x14ac:dyDescent="0.25">
      <c r="A13" s="8" t="s">
        <v>34</v>
      </c>
      <c r="B13" s="8" t="s">
        <v>26</v>
      </c>
      <c r="C13" s="8" t="s">
        <v>27</v>
      </c>
      <c r="D13" s="9">
        <v>18.504000000000001</v>
      </c>
      <c r="E13" s="9">
        <v>5.7824999999999998</v>
      </c>
      <c r="F13" s="10">
        <v>0.2</v>
      </c>
      <c r="G13" s="8" t="str">
        <f t="shared" si="0"/>
        <v>Low</v>
      </c>
      <c r="H13" s="11" t="b">
        <f t="shared" si="1"/>
        <v>0</v>
      </c>
      <c r="I13" s="11" t="b">
        <f t="shared" si="2"/>
        <v>0</v>
      </c>
      <c r="J13" s="8" t="str">
        <f t="shared" si="3"/>
        <v>Other</v>
      </c>
      <c r="K13" s="12">
        <f t="shared" si="4"/>
        <v>0.31249999999999994</v>
      </c>
    </row>
    <row r="14" spans="1:11" x14ac:dyDescent="0.25">
      <c r="A14" s="8" t="s">
        <v>35</v>
      </c>
      <c r="B14" s="8" t="s">
        <v>26</v>
      </c>
      <c r="C14" s="8" t="s">
        <v>27</v>
      </c>
      <c r="D14" s="9">
        <v>114.9</v>
      </c>
      <c r="E14" s="9">
        <v>34.47</v>
      </c>
      <c r="F14" s="10">
        <v>0</v>
      </c>
      <c r="G14" s="8" t="str">
        <f t="shared" si="0"/>
        <v>Low</v>
      </c>
      <c r="H14" s="11" t="b">
        <f t="shared" si="1"/>
        <v>0</v>
      </c>
      <c r="I14" s="11" t="b">
        <f t="shared" si="2"/>
        <v>0</v>
      </c>
      <c r="J14" s="8" t="str">
        <f t="shared" si="3"/>
        <v>Other</v>
      </c>
      <c r="K14" s="12">
        <f t="shared" si="4"/>
        <v>0.3</v>
      </c>
    </row>
    <row r="15" spans="1:11" x14ac:dyDescent="0.25">
      <c r="A15" s="8" t="s">
        <v>36</v>
      </c>
      <c r="B15" s="8" t="s">
        <v>22</v>
      </c>
      <c r="C15" s="8" t="s">
        <v>27</v>
      </c>
      <c r="D15" s="9">
        <v>1706.184</v>
      </c>
      <c r="E15" s="9">
        <v>85.309199999999805</v>
      </c>
      <c r="F15" s="10">
        <v>0.2</v>
      </c>
      <c r="G15" s="8" t="str">
        <f t="shared" si="0"/>
        <v>High</v>
      </c>
      <c r="H15" s="11" t="b">
        <f t="shared" si="1"/>
        <v>1</v>
      </c>
      <c r="I15" s="11" t="b">
        <f t="shared" si="2"/>
        <v>1</v>
      </c>
      <c r="J15" s="8" t="str">
        <f t="shared" si="3"/>
        <v>Profitable High Sale</v>
      </c>
      <c r="K15" s="12">
        <f t="shared" si="4"/>
        <v>4.9999999999999885E-2</v>
      </c>
    </row>
    <row r="16" spans="1:11" x14ac:dyDescent="0.25">
      <c r="A16" s="8" t="s">
        <v>37</v>
      </c>
      <c r="B16" s="8" t="s">
        <v>33</v>
      </c>
      <c r="C16" s="8" t="s">
        <v>27</v>
      </c>
      <c r="D16" s="9">
        <v>911.42399999999998</v>
      </c>
      <c r="E16" s="9">
        <v>68.356800000000007</v>
      </c>
      <c r="F16" s="10">
        <v>0.2</v>
      </c>
      <c r="G16" s="8" t="str">
        <f t="shared" si="0"/>
        <v>High</v>
      </c>
      <c r="H16" s="11" t="b">
        <f t="shared" si="1"/>
        <v>1</v>
      </c>
      <c r="I16" s="11" t="b">
        <f t="shared" si="2"/>
        <v>1</v>
      </c>
      <c r="J16" s="8" t="str">
        <f t="shared" si="3"/>
        <v>Profitable High Sale</v>
      </c>
      <c r="K16" s="12">
        <f t="shared" si="4"/>
        <v>7.5000000000000011E-2</v>
      </c>
    </row>
    <row r="17" spans="1:11" x14ac:dyDescent="0.25">
      <c r="A17" s="8" t="s">
        <v>38</v>
      </c>
      <c r="B17" s="8" t="s">
        <v>26</v>
      </c>
      <c r="C17" s="8" t="s">
        <v>23</v>
      </c>
      <c r="D17" s="9">
        <v>15.552</v>
      </c>
      <c r="E17" s="9">
        <v>5.4432</v>
      </c>
      <c r="F17" s="10">
        <v>0.2</v>
      </c>
      <c r="G17" s="8" t="str">
        <f t="shared" si="0"/>
        <v>Low</v>
      </c>
      <c r="H17" s="11" t="b">
        <f t="shared" si="1"/>
        <v>0</v>
      </c>
      <c r="I17" s="11" t="b">
        <f t="shared" si="2"/>
        <v>0</v>
      </c>
      <c r="J17" s="8" t="str">
        <f t="shared" si="3"/>
        <v>Other</v>
      </c>
      <c r="K17" s="12">
        <f t="shared" si="4"/>
        <v>0.35000000000000003</v>
      </c>
    </row>
    <row r="18" spans="1:11" x14ac:dyDescent="0.25">
      <c r="A18" s="8" t="s">
        <v>39</v>
      </c>
      <c r="B18" s="8" t="s">
        <v>26</v>
      </c>
      <c r="C18" s="8" t="s">
        <v>27</v>
      </c>
      <c r="D18" s="9">
        <v>407.976</v>
      </c>
      <c r="E18" s="9">
        <v>132.59219999999999</v>
      </c>
      <c r="F18" s="10">
        <v>0.2</v>
      </c>
      <c r="G18" s="8" t="str">
        <f t="shared" si="0"/>
        <v>High</v>
      </c>
      <c r="H18" s="11" t="b">
        <f t="shared" si="1"/>
        <v>1</v>
      </c>
      <c r="I18" s="11" t="b">
        <f t="shared" si="2"/>
        <v>0</v>
      </c>
      <c r="J18" s="8" t="str">
        <f t="shared" si="3"/>
        <v>Profitable High Sale</v>
      </c>
      <c r="K18" s="12">
        <f t="shared" si="4"/>
        <v>0.32499999999999996</v>
      </c>
    </row>
    <row r="19" spans="1:11" x14ac:dyDescent="0.25">
      <c r="A19" s="13" t="s">
        <v>40</v>
      </c>
      <c r="B19" s="13" t="s">
        <v>26</v>
      </c>
      <c r="C19" s="13" t="s">
        <v>41</v>
      </c>
      <c r="D19" s="14">
        <v>0</v>
      </c>
      <c r="E19" s="14">
        <v>0</v>
      </c>
      <c r="F19" s="15">
        <v>0</v>
      </c>
      <c r="G19" s="13" t="str">
        <f t="shared" si="0"/>
        <v>Low</v>
      </c>
      <c r="H19" s="16" t="b">
        <f t="shared" si="1"/>
        <v>0</v>
      </c>
      <c r="I19" s="16" t="b">
        <f t="shared" si="2"/>
        <v>0</v>
      </c>
      <c r="J19" s="13" t="str">
        <f t="shared" si="3"/>
        <v>Other</v>
      </c>
      <c r="K19" s="17" t="str">
        <f t="shared" si="4"/>
        <v>N/A (zero sales)</v>
      </c>
    </row>
    <row r="21" spans="1:11" x14ac:dyDescent="0.25">
      <c r="A21" s="18"/>
    </row>
    <row r="22" spans="1:11" x14ac:dyDescent="0.25">
      <c r="A22" s="6"/>
    </row>
    <row r="23" spans="1:11" x14ac:dyDescent="0.25">
      <c r="A23" s="6"/>
    </row>
    <row r="24" spans="1:11" x14ac:dyDescent="0.25">
      <c r="A24" s="6"/>
    </row>
    <row r="25" spans="1:11" x14ac:dyDescent="0.25">
      <c r="A25" s="6"/>
    </row>
    <row r="26" spans="1:11" x14ac:dyDescent="0.25">
      <c r="A26" s="6"/>
    </row>
    <row r="27" spans="1:11" x14ac:dyDescent="0.25">
      <c r="A27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abSelected="1" zoomScaleNormal="100" workbookViewId="0">
      <selection activeCell="A21" sqref="A21:B35"/>
    </sheetView>
  </sheetViews>
  <sheetFormatPr defaultColWidth="8.7109375" defaultRowHeight="15" x14ac:dyDescent="0.25"/>
  <cols>
    <col min="1" max="1" width="28" customWidth="1"/>
    <col min="2" max="2" width="14" customWidth="1"/>
    <col min="3" max="4" width="10" customWidth="1"/>
    <col min="5" max="5" width="22" customWidth="1"/>
    <col min="6" max="6" width="18" customWidth="1"/>
    <col min="7" max="7" width="16" customWidth="1"/>
    <col min="8" max="8" width="30" customWidth="1"/>
  </cols>
  <sheetData>
    <row r="1" spans="1:8" ht="18" x14ac:dyDescent="0.25">
      <c r="A1" s="5" t="s">
        <v>42</v>
      </c>
    </row>
    <row r="2" spans="1:8" x14ac:dyDescent="0.25">
      <c r="A2" s="6" t="s">
        <v>43</v>
      </c>
    </row>
    <row r="4" spans="1:8" ht="39.75" customHeight="1" x14ac:dyDescent="0.25">
      <c r="A4" s="7" t="s">
        <v>10</v>
      </c>
      <c r="B4" s="7" t="s">
        <v>11</v>
      </c>
      <c r="C4" s="7" t="s">
        <v>44</v>
      </c>
      <c r="D4" s="7" t="s">
        <v>15</v>
      </c>
      <c r="E4" s="7" t="s">
        <v>45</v>
      </c>
      <c r="F4" s="7" t="s">
        <v>46</v>
      </c>
      <c r="G4" s="7" t="s">
        <v>47</v>
      </c>
      <c r="H4" s="7" t="s">
        <v>48</v>
      </c>
    </row>
    <row r="5" spans="1:8" x14ac:dyDescent="0.25">
      <c r="A5" s="8" t="s">
        <v>21</v>
      </c>
      <c r="B5" s="8" t="s">
        <v>22</v>
      </c>
      <c r="C5" s="8">
        <v>2</v>
      </c>
      <c r="D5" s="10">
        <v>0</v>
      </c>
      <c r="E5" s="9">
        <v>261.95999999999998</v>
      </c>
      <c r="F5" s="8" t="str">
        <f t="shared" ref="F5:F19" si="0">IF(C5&gt;=5,"Bulk Order",IF(C5&gt;=2,"Multi-Item","Single Item"))</f>
        <v>Multi-Item</v>
      </c>
      <c r="G5" s="8" t="str">
        <f t="shared" ref="G5:G19" si="1">IF(D5=0,"No Discount",IF(D5&lt;0.2,"Low Discount","High Discount"))</f>
        <v>No Discount</v>
      </c>
      <c r="H5" s="8" t="str">
        <f t="shared" ref="H5:H19" si="2">IFERROR(IF(AND(E5+0&gt;0,OR(B5="Technology",B5="Furniture")),"Priority Review",IF(E5+0&lt;50,"Low Value","Standard")),"Data Error - Check Sales Value")</f>
        <v>Priority Review</v>
      </c>
    </row>
    <row r="6" spans="1:8" x14ac:dyDescent="0.25">
      <c r="A6" s="8" t="s">
        <v>24</v>
      </c>
      <c r="B6" s="8" t="s">
        <v>22</v>
      </c>
      <c r="C6" s="8">
        <v>3</v>
      </c>
      <c r="D6" s="10">
        <v>0</v>
      </c>
      <c r="E6" s="9">
        <v>731.94</v>
      </c>
      <c r="F6" s="8" t="str">
        <f t="shared" si="0"/>
        <v>Multi-Item</v>
      </c>
      <c r="G6" s="8" t="str">
        <f t="shared" si="1"/>
        <v>No Discount</v>
      </c>
      <c r="H6" s="8" t="str">
        <f t="shared" si="2"/>
        <v>Priority Review</v>
      </c>
    </row>
    <row r="7" spans="1:8" x14ac:dyDescent="0.25">
      <c r="A7" s="8" t="s">
        <v>25</v>
      </c>
      <c r="B7" s="8" t="s">
        <v>26</v>
      </c>
      <c r="C7" s="8">
        <v>2</v>
      </c>
      <c r="D7" s="10">
        <v>0</v>
      </c>
      <c r="E7" s="9">
        <v>14.62</v>
      </c>
      <c r="F7" s="8" t="str">
        <f t="shared" si="0"/>
        <v>Multi-Item</v>
      </c>
      <c r="G7" s="8" t="str">
        <f t="shared" si="1"/>
        <v>No Discount</v>
      </c>
      <c r="H7" s="8" t="str">
        <f t="shared" si="2"/>
        <v>Low Value</v>
      </c>
    </row>
    <row r="8" spans="1:8" x14ac:dyDescent="0.25">
      <c r="A8" s="8" t="s">
        <v>28</v>
      </c>
      <c r="B8" s="8" t="s">
        <v>22</v>
      </c>
      <c r="C8" s="8">
        <v>5</v>
      </c>
      <c r="D8" s="10">
        <v>0.45</v>
      </c>
      <c r="E8" s="9">
        <v>957.57749999999999</v>
      </c>
      <c r="F8" s="8" t="str">
        <f t="shared" si="0"/>
        <v>Bulk Order</v>
      </c>
      <c r="G8" s="8" t="str">
        <f t="shared" si="1"/>
        <v>High Discount</v>
      </c>
      <c r="H8" s="8" t="str">
        <f t="shared" si="2"/>
        <v>Priority Review</v>
      </c>
    </row>
    <row r="9" spans="1:8" x14ac:dyDescent="0.25">
      <c r="A9" s="8" t="s">
        <v>29</v>
      </c>
      <c r="B9" s="8" t="s">
        <v>26</v>
      </c>
      <c r="C9" s="8">
        <v>2</v>
      </c>
      <c r="D9" s="10">
        <v>0.2</v>
      </c>
      <c r="E9" s="9">
        <v>22.367999999999999</v>
      </c>
      <c r="F9" s="8" t="str">
        <f t="shared" si="0"/>
        <v>Multi-Item</v>
      </c>
      <c r="G9" s="8" t="str">
        <f t="shared" si="1"/>
        <v>High Discount</v>
      </c>
      <c r="H9" s="8" t="str">
        <f t="shared" si="2"/>
        <v>Low Value</v>
      </c>
    </row>
    <row r="10" spans="1:8" x14ac:dyDescent="0.25">
      <c r="A10" s="8" t="s">
        <v>30</v>
      </c>
      <c r="B10" s="8" t="s">
        <v>22</v>
      </c>
      <c r="C10" s="8">
        <v>7</v>
      </c>
      <c r="D10" s="10">
        <v>0</v>
      </c>
      <c r="E10" s="9">
        <v>48.86</v>
      </c>
      <c r="F10" s="8" t="str">
        <f t="shared" si="0"/>
        <v>Bulk Order</v>
      </c>
      <c r="G10" s="8" t="str">
        <f t="shared" si="1"/>
        <v>No Discount</v>
      </c>
      <c r="H10" s="8" t="str">
        <f t="shared" si="2"/>
        <v>Priority Review</v>
      </c>
    </row>
    <row r="11" spans="1:8" x14ac:dyDescent="0.25">
      <c r="A11" s="8" t="s">
        <v>31</v>
      </c>
      <c r="B11" s="8" t="s">
        <v>26</v>
      </c>
      <c r="C11" s="8">
        <v>4</v>
      </c>
      <c r="D11" s="10">
        <v>0</v>
      </c>
      <c r="E11" s="9">
        <v>7.28</v>
      </c>
      <c r="F11" s="8" t="str">
        <f t="shared" si="0"/>
        <v>Multi-Item</v>
      </c>
      <c r="G11" s="8" t="str">
        <f t="shared" si="1"/>
        <v>No Discount</v>
      </c>
      <c r="H11" s="8" t="str">
        <f t="shared" si="2"/>
        <v>Low Value</v>
      </c>
    </row>
    <row r="12" spans="1:8" x14ac:dyDescent="0.25">
      <c r="A12" s="8" t="s">
        <v>32</v>
      </c>
      <c r="B12" s="8" t="s">
        <v>33</v>
      </c>
      <c r="C12" s="8">
        <v>6</v>
      </c>
      <c r="D12" s="10">
        <v>0.2</v>
      </c>
      <c r="E12" s="9">
        <v>907.15200000000004</v>
      </c>
      <c r="F12" s="8" t="str">
        <f t="shared" si="0"/>
        <v>Bulk Order</v>
      </c>
      <c r="G12" s="8" t="str">
        <f t="shared" si="1"/>
        <v>High Discount</v>
      </c>
      <c r="H12" s="8" t="str">
        <f t="shared" si="2"/>
        <v>Priority Review</v>
      </c>
    </row>
    <row r="13" spans="1:8" x14ac:dyDescent="0.25">
      <c r="A13" s="8" t="s">
        <v>34</v>
      </c>
      <c r="B13" s="8" t="s">
        <v>26</v>
      </c>
      <c r="C13" s="8">
        <v>3</v>
      </c>
      <c r="D13" s="10">
        <v>0.2</v>
      </c>
      <c r="E13" s="9">
        <v>18.504000000000001</v>
      </c>
      <c r="F13" s="8" t="str">
        <f t="shared" si="0"/>
        <v>Multi-Item</v>
      </c>
      <c r="G13" s="8" t="str">
        <f t="shared" si="1"/>
        <v>High Discount</v>
      </c>
      <c r="H13" s="8" t="str">
        <f t="shared" si="2"/>
        <v>Low Value</v>
      </c>
    </row>
    <row r="14" spans="1:8" x14ac:dyDescent="0.25">
      <c r="A14" s="8" t="s">
        <v>35</v>
      </c>
      <c r="B14" s="8" t="s">
        <v>26</v>
      </c>
      <c r="C14" s="8">
        <v>5</v>
      </c>
      <c r="D14" s="10">
        <v>0</v>
      </c>
      <c r="E14" s="9">
        <v>114.9</v>
      </c>
      <c r="F14" s="8" t="str">
        <f t="shared" si="0"/>
        <v>Bulk Order</v>
      </c>
      <c r="G14" s="8" t="str">
        <f t="shared" si="1"/>
        <v>No Discount</v>
      </c>
      <c r="H14" s="8" t="str">
        <f t="shared" si="2"/>
        <v>Standard</v>
      </c>
    </row>
    <row r="15" spans="1:8" x14ac:dyDescent="0.25">
      <c r="A15" s="8" t="s">
        <v>36</v>
      </c>
      <c r="B15" s="8" t="s">
        <v>22</v>
      </c>
      <c r="C15" s="8">
        <v>9</v>
      </c>
      <c r="D15" s="10">
        <v>0.2</v>
      </c>
      <c r="E15" s="9">
        <v>1706.184</v>
      </c>
      <c r="F15" s="8" t="str">
        <f t="shared" si="0"/>
        <v>Bulk Order</v>
      </c>
      <c r="G15" s="8" t="str">
        <f t="shared" si="1"/>
        <v>High Discount</v>
      </c>
      <c r="H15" s="8" t="str">
        <f t="shared" si="2"/>
        <v>Priority Review</v>
      </c>
    </row>
    <row r="16" spans="1:8" x14ac:dyDescent="0.25">
      <c r="A16" s="8" t="s">
        <v>37</v>
      </c>
      <c r="B16" s="8" t="s">
        <v>33</v>
      </c>
      <c r="C16" s="8">
        <v>4</v>
      </c>
      <c r="D16" s="10">
        <v>0.2</v>
      </c>
      <c r="E16" s="9">
        <v>911.42399999999998</v>
      </c>
      <c r="F16" s="8" t="str">
        <f t="shared" si="0"/>
        <v>Multi-Item</v>
      </c>
      <c r="G16" s="8" t="str">
        <f t="shared" si="1"/>
        <v>High Discount</v>
      </c>
      <c r="H16" s="8" t="str">
        <f t="shared" si="2"/>
        <v>Priority Review</v>
      </c>
    </row>
    <row r="17" spans="1:8" x14ac:dyDescent="0.25">
      <c r="A17" s="8" t="s">
        <v>38</v>
      </c>
      <c r="B17" s="8" t="s">
        <v>26</v>
      </c>
      <c r="C17" s="8">
        <v>3</v>
      </c>
      <c r="D17" s="10">
        <v>0.2</v>
      </c>
      <c r="E17" s="9">
        <v>15.552</v>
      </c>
      <c r="F17" s="8" t="str">
        <f t="shared" si="0"/>
        <v>Multi-Item</v>
      </c>
      <c r="G17" s="8" t="str">
        <f t="shared" si="1"/>
        <v>High Discount</v>
      </c>
      <c r="H17" s="8" t="str">
        <f t="shared" si="2"/>
        <v>Low Value</v>
      </c>
    </row>
    <row r="18" spans="1:8" x14ac:dyDescent="0.25">
      <c r="A18" s="8" t="s">
        <v>39</v>
      </c>
      <c r="B18" s="8" t="s">
        <v>26</v>
      </c>
      <c r="C18" s="8">
        <v>3</v>
      </c>
      <c r="D18" s="10">
        <v>0.2</v>
      </c>
      <c r="E18" s="9">
        <v>407.976</v>
      </c>
      <c r="F18" s="8" t="str">
        <f t="shared" si="0"/>
        <v>Multi-Item</v>
      </c>
      <c r="G18" s="8" t="str">
        <f t="shared" si="1"/>
        <v>High Discount</v>
      </c>
      <c r="H18" s="8" t="str">
        <f t="shared" si="2"/>
        <v>Standard</v>
      </c>
    </row>
    <row r="19" spans="1:8" x14ac:dyDescent="0.25">
      <c r="A19" s="13" t="s">
        <v>49</v>
      </c>
      <c r="B19" s="13" t="s">
        <v>33</v>
      </c>
      <c r="C19" s="13">
        <v>3</v>
      </c>
      <c r="D19" s="15">
        <v>0.1</v>
      </c>
      <c r="E19" s="13" t="s">
        <v>50</v>
      </c>
      <c r="F19" s="13" t="str">
        <f t="shared" si="0"/>
        <v>Multi-Item</v>
      </c>
      <c r="G19" s="13" t="str">
        <f t="shared" si="1"/>
        <v>Low Discount</v>
      </c>
      <c r="H19" s="13" t="str">
        <f t="shared" si="2"/>
        <v>Data Error - Check Sales Value</v>
      </c>
    </row>
    <row r="21" spans="1:8" x14ac:dyDescent="0.25">
      <c r="A21" s="18"/>
    </row>
    <row r="22" spans="1:8" x14ac:dyDescent="0.25">
      <c r="A22" s="6"/>
    </row>
    <row r="23" spans="1:8" x14ac:dyDescent="0.25">
      <c r="A23" s="6"/>
    </row>
    <row r="24" spans="1:8" x14ac:dyDescent="0.25">
      <c r="A24" s="6"/>
    </row>
    <row r="25" spans="1:8" x14ac:dyDescent="0.25">
      <c r="A25" s="6"/>
    </row>
    <row r="26" spans="1:8" x14ac:dyDescent="0.25">
      <c r="A26" s="6"/>
    </row>
    <row r="27" spans="1:8" x14ac:dyDescent="0.25">
      <c r="A27" s="6"/>
    </row>
    <row r="28" spans="1:8" x14ac:dyDescent="0.25">
      <c r="A28" s="6"/>
    </row>
    <row r="29" spans="1:8" x14ac:dyDescent="0.25">
      <c r="A29" s="6"/>
    </row>
    <row r="30" spans="1:8" x14ac:dyDescent="0.25">
      <c r="A30" s="6"/>
    </row>
    <row r="31" spans="1:8" x14ac:dyDescent="0.25">
      <c r="A31" s="6"/>
    </row>
    <row r="32" spans="1:8" x14ac:dyDescent="0.25">
      <c r="A32" s="6"/>
    </row>
    <row r="33" spans="1:1" x14ac:dyDescent="0.25">
      <c r="A33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1. Basic Logical Formulas</vt:lpstr>
      <vt:lpstr>2. Multiple Logical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2026-09-24T02:36:58Z</dcterms:created>
  <dcterms:modified xsi:type="dcterms:W3CDTF">2026-10-02T06:38:02Z</dcterms:modified>
  <dc:language>en-US</dc:language>
</cp:coreProperties>
</file>