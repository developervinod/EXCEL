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FCA75FF3-F37A-41F7-B101-AB84069F7B15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Cover" sheetId="1" r:id="rId1"/>
    <sheet name="1. Remove Dup &amp; Errors" sheetId="2" r:id="rId2"/>
    <sheet name="2. Cleaning Formulas" sheetId="3" r:id="rId3"/>
    <sheet name="3. SEARCH vs FIND" sheetId="4" r:id="rId4"/>
    <sheet name="4. Go To Special" sheetId="5" r:id="rId5"/>
    <sheet name="5. Text to Columns" sheetId="6" r:id="rId6"/>
    <sheet name="6. CONCATENATE &amp; &amp;" sheetId="7" r:id="rId7"/>
    <sheet name="7. Find &amp; Replace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8" l="1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C15" i="8"/>
  <c r="C14" i="8"/>
  <c r="C13" i="8"/>
  <c r="C12" i="8"/>
  <c r="C11" i="8"/>
  <c r="C10" i="8"/>
  <c r="C9" i="8"/>
  <c r="C8" i="8"/>
  <c r="C7" i="8"/>
  <c r="C6" i="8"/>
  <c r="E16" i="7"/>
  <c r="D16" i="7"/>
  <c r="C16" i="7"/>
  <c r="D15" i="7"/>
  <c r="C15" i="7"/>
  <c r="E15" i="7" s="1"/>
  <c r="E14" i="7"/>
  <c r="D14" i="7"/>
  <c r="C14" i="7"/>
  <c r="D13" i="7"/>
  <c r="C13" i="7"/>
  <c r="E13" i="7" s="1"/>
  <c r="E12" i="7"/>
  <c r="D12" i="7"/>
  <c r="C12" i="7"/>
  <c r="D11" i="7"/>
  <c r="C11" i="7"/>
  <c r="E11" i="7" s="1"/>
  <c r="E10" i="7"/>
  <c r="D10" i="7"/>
  <c r="C10" i="7"/>
  <c r="D9" i="7"/>
  <c r="C9" i="7"/>
  <c r="E9" i="7" s="1"/>
  <c r="E8" i="7"/>
  <c r="D8" i="7"/>
  <c r="C8" i="7"/>
  <c r="D7" i="7"/>
  <c r="C7" i="7"/>
  <c r="E7" i="7" s="1"/>
  <c r="E6" i="7"/>
  <c r="D6" i="7"/>
  <c r="C6" i="7"/>
  <c r="D5" i="7"/>
  <c r="C5" i="7"/>
  <c r="E5" i="7" s="1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D15" i="5"/>
  <c r="D14" i="5"/>
  <c r="D13" i="5"/>
  <c r="D12" i="5"/>
  <c r="D11" i="5"/>
  <c r="D10" i="5"/>
  <c r="D9" i="5"/>
  <c r="D8" i="5"/>
  <c r="D7" i="5"/>
  <c r="D6" i="5"/>
  <c r="E10" i="4"/>
  <c r="C10" i="4"/>
  <c r="B10" i="4"/>
  <c r="D10" i="4" s="1"/>
  <c r="E9" i="4"/>
  <c r="C9" i="4"/>
  <c r="B9" i="4"/>
  <c r="D9" i="4" s="1"/>
  <c r="E8" i="4"/>
  <c r="C8" i="4"/>
  <c r="D8" i="4" s="1"/>
  <c r="B8" i="4"/>
  <c r="E7" i="4"/>
  <c r="C7" i="4"/>
  <c r="B7" i="4"/>
  <c r="D7" i="4" s="1"/>
  <c r="E6" i="4"/>
  <c r="C6" i="4"/>
  <c r="B6" i="4"/>
  <c r="D6" i="4" s="1"/>
  <c r="E5" i="4"/>
  <c r="C5" i="4"/>
  <c r="D5" i="4" s="1"/>
  <c r="B5" i="4"/>
  <c r="G23" i="3"/>
  <c r="F23" i="3"/>
  <c r="E23" i="3"/>
  <c r="D23" i="3"/>
  <c r="B23" i="3"/>
  <c r="G22" i="3"/>
  <c r="F22" i="3"/>
  <c r="E22" i="3"/>
  <c r="D22" i="3"/>
  <c r="B22" i="3"/>
  <c r="G21" i="3"/>
  <c r="F21" i="3"/>
  <c r="E21" i="3"/>
  <c r="D21" i="3"/>
  <c r="B21" i="3"/>
  <c r="G20" i="3"/>
  <c r="F20" i="3"/>
  <c r="E20" i="3"/>
  <c r="D20" i="3"/>
  <c r="B20" i="3"/>
  <c r="G19" i="3"/>
  <c r="F19" i="3"/>
  <c r="E19" i="3"/>
  <c r="D19" i="3"/>
  <c r="B19" i="3"/>
  <c r="G18" i="3"/>
  <c r="F18" i="3"/>
  <c r="E18" i="3"/>
  <c r="D18" i="3"/>
  <c r="B18" i="3"/>
  <c r="G17" i="3"/>
  <c r="F17" i="3"/>
  <c r="E17" i="3"/>
  <c r="D17" i="3"/>
  <c r="B17" i="3"/>
  <c r="G16" i="3"/>
  <c r="F16" i="3"/>
  <c r="E16" i="3"/>
  <c r="D16" i="3"/>
  <c r="B16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8" i="2"/>
  <c r="D48" i="2"/>
  <c r="F48" i="2" s="1"/>
  <c r="F47" i="2"/>
  <c r="E47" i="2"/>
  <c r="D47" i="2"/>
  <c r="E46" i="2"/>
  <c r="D46" i="2"/>
  <c r="F46" i="2" s="1"/>
  <c r="F45" i="2"/>
  <c r="E45" i="2"/>
  <c r="D45" i="2"/>
  <c r="E44" i="2"/>
  <c r="D44" i="2"/>
  <c r="F44" i="2" s="1"/>
  <c r="F43" i="2"/>
  <c r="E43" i="2"/>
  <c r="D43" i="2"/>
  <c r="E42" i="2"/>
  <c r="D42" i="2"/>
  <c r="F42" i="2" s="1"/>
  <c r="F41" i="2"/>
  <c r="E41" i="2"/>
  <c r="D41" i="2"/>
  <c r="E40" i="2"/>
  <c r="D40" i="2"/>
  <c r="F40" i="2" s="1"/>
  <c r="F39" i="2"/>
  <c r="E39" i="2"/>
  <c r="D39" i="2"/>
  <c r="D35" i="2"/>
  <c r="D34" i="2"/>
  <c r="D33" i="2"/>
  <c r="D32" i="2"/>
  <c r="D31" i="2"/>
  <c r="D30" i="2"/>
  <c r="D29" i="2"/>
  <c r="D28" i="2"/>
  <c r="D27" i="2"/>
  <c r="D26" i="2"/>
  <c r="D25" i="2"/>
  <c r="D24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<sst xmlns="http://schemas.openxmlformats.org/spreadsheetml/2006/main" count="300" uniqueCount="187">
  <si>
    <t>Excel Practical Assignment — Section 6: Practical Data Cleaning</t>
  </si>
  <si>
    <t>Dataset used: Superstore Sales (Orders sheet)</t>
  </si>
  <si>
    <t>Sheets in this workbook:</t>
  </si>
  <si>
    <t>1. Remove Dup &amp; Errors -&gt; Duplicate rows + #DIV/0! errors, Remove Duplicates result, error removal,</t>
  </si>
  <si>
    <t xml:space="preserve">   COUNTIF-based duplicate highlighting, and a final cleanliness verification</t>
  </si>
  <si>
    <t>2. Cleaning Formulas -&gt; UPPER, PROPER, LOWER, TRIM, plus VALUE/LEN/LEFT/RIGHT/MID extraction</t>
  </si>
  <si>
    <t>3. SEARCH vs FIND -&gt; case-insensitive vs case-sensitive text search, and SEARCH combined with MID</t>
  </si>
  <si>
    <t>4. Go To Special -&gt; colour-coded constants / formulas / blanks, simulating what each Go To Special</t>
  </si>
  <si>
    <t xml:space="preserve">   option would select, plus how it speeds up bulk data-cleaning edits</t>
  </si>
  <si>
    <t>5. Text to Columns -&gt; splitting "First Last" names by space and "City, State" by comma</t>
  </si>
  <si>
    <t>6. CONCATENATE &amp; &amp; -&gt; joining First/Last Name both ways and comparing the results</t>
  </si>
  <si>
    <t>7. Find &amp; Replace -&gt; locating and replacing a repeated text value, including a wildcard example</t>
  </si>
  <si>
    <t>Section 6.1 — Removing Duplicate Values and Error Values</t>
  </si>
  <si>
    <t>Tasks 1-5: Dataset with duplicates, Remove Duplicates result, Remove error values, Highlight duplicates, Verify cleanliness</t>
  </si>
  <si>
    <t>Task 1: Original dataset — contains duplicate rows and formula errors (highlighted)</t>
  </si>
  <si>
    <t>Product Name</t>
  </si>
  <si>
    <t>Region</t>
  </si>
  <si>
    <t>Sales</t>
  </si>
  <si>
    <t>Profit Margin (Profit/Sales)</t>
  </si>
  <si>
    <t>Bush Somerset Collection Bookc</t>
  </si>
  <si>
    <t>South</t>
  </si>
  <si>
    <t xml:space="preserve">Hon Deluxe Fabric Upholstered </t>
  </si>
  <si>
    <t>Self-Adhesive Address Labels f</t>
  </si>
  <si>
    <t>West</t>
  </si>
  <si>
    <t>Bretford CR4500 Series Slim Re</t>
  </si>
  <si>
    <t>Eldon Fold 'N Roll Cart System</t>
  </si>
  <si>
    <t>Eldon Expressions Wood and Pla</t>
  </si>
  <si>
    <t>Newell 322</t>
  </si>
  <si>
    <t>Mitel 5320 IP Phone VoIP phone</t>
  </si>
  <si>
    <t>DXL Angle-View Binders with Lo</t>
  </si>
  <si>
    <t>Belkin F5C206VTEL 6 Outlet Sur</t>
  </si>
  <si>
    <t>ZeroSales Test A</t>
  </si>
  <si>
    <t>East</t>
  </si>
  <si>
    <t>ZeroSales Test B</t>
  </si>
  <si>
    <t>Task 2: After "Remove Duplicates" (Data &gt; Data Tools &gt; Remove Duplicates on column A)</t>
  </si>
  <si>
    <t>Tasks 3 &amp; 5: After removing rows with ERROR values, then verifying cleanliness</t>
  </si>
  <si>
    <t>Profit Margin</t>
  </si>
  <si>
    <t>Duplicate Check
(COUNTIF)</t>
  </si>
  <si>
    <t>Error Check
(ISERROR)</t>
  </si>
  <si>
    <t>Section 6.2 — Data Cleaning Formulas: UPPER, PROPER, LOWER, TRIM, VALUE, LEN, RIGHT, LEFT, MID</t>
  </si>
  <si>
    <t>Tasks 1-5: text case conversion, TRIM, and VALUE/LEN/RIGHT/LEFT/MID extraction</t>
  </si>
  <si>
    <t>Messy Product Name (raw)</t>
  </si>
  <si>
    <t>UPPER()</t>
  </si>
  <si>
    <t>PROPER()</t>
  </si>
  <si>
    <t>LOWER()</t>
  </si>
  <si>
    <t>TRIM()
(extra spaces removed)</t>
  </si>
  <si>
    <t xml:space="preserve">  BUSH Somerset collection b   </t>
  </si>
  <si>
    <t xml:space="preserve">  HON DEluxe fabric upholste   </t>
  </si>
  <si>
    <t xml:space="preserve">  SELF-Adhesive address labe   </t>
  </si>
  <si>
    <t xml:space="preserve">  BRETFOrd cr4500 series sli   </t>
  </si>
  <si>
    <t xml:space="preserve">  ELDON fold 'n roll cart sy   </t>
  </si>
  <si>
    <t xml:space="preserve">  ELDON expressions wood and   </t>
  </si>
  <si>
    <t xml:space="preserve">  NEWELL 322   </t>
  </si>
  <si>
    <t xml:space="preserve">  MITEL 5320 ip phone voip p   </t>
  </si>
  <si>
    <t>Task 5: VALUE, LEN, LEFT, RIGHT, MID — extracting and converting parts of text</t>
  </si>
  <si>
    <t>Text Sales ("$" + number, as text)</t>
  </si>
  <si>
    <t>VALUE()
(text -&gt; number)</t>
  </si>
  <si>
    <t>Product Code (text)</t>
  </si>
  <si>
    <t>LEN()</t>
  </si>
  <si>
    <t>LEFT(code,3)</t>
  </si>
  <si>
    <t>RIGHT(code,4)</t>
  </si>
  <si>
    <t>MID(code,4,3)</t>
  </si>
  <si>
    <t>$261.96</t>
  </si>
  <si>
    <t>FUR-2015-1000</t>
  </si>
  <si>
    <t>$731.94</t>
  </si>
  <si>
    <t>FUR-2016-1001</t>
  </si>
  <si>
    <t>$14.62</t>
  </si>
  <si>
    <t>OFF-2017-1002</t>
  </si>
  <si>
    <t>$957.58</t>
  </si>
  <si>
    <t>FUR-2018-1003</t>
  </si>
  <si>
    <t>$22.37</t>
  </si>
  <si>
    <t>OFF-2019-1004</t>
  </si>
  <si>
    <t>$48.86</t>
  </si>
  <si>
    <t>FUR-2020-1005</t>
  </si>
  <si>
    <t>$7.28</t>
  </si>
  <si>
    <t>OFF-2021-1006</t>
  </si>
  <si>
    <t>$907.15</t>
  </si>
  <si>
    <t>TEC-2022-1007</t>
  </si>
  <si>
    <t>Section 6.3 — SEARCH vs FIND, and SEARCH &amp; MID</t>
  </si>
  <si>
    <t>Tasks 1-5: SEARCH (case-insensitive), FIND (case-sensitive), comparison, SEARCH+MID extraction, explanation</t>
  </si>
  <si>
    <t>SEARCH("phone",name)
(case-insensitive)</t>
  </si>
  <si>
    <t>FIND("Phone",name)
(case-sensitive)</t>
  </si>
  <si>
    <t>Same result?</t>
  </si>
  <si>
    <t>Extracted via MID
(from the word found)</t>
  </si>
  <si>
    <t>Konftel 250 Conference phone -</t>
  </si>
  <si>
    <t>Section 6.4 — Using the Go To (Special) Technique</t>
  </si>
  <si>
    <t>Tasks 1-5: Select blanks/constants, fill blanks, highlight formula cells, CF-selected cells, benefits</t>
  </si>
  <si>
    <t>Demo range — a mix of constants, formulas, and blank cells (as Go To Special would find them)</t>
  </si>
  <si>
    <t>Category</t>
  </si>
  <si>
    <t>Sales x 1.1
(FORMULA cell)</t>
  </si>
  <si>
    <t>Notes (some BLANK cells)</t>
  </si>
  <si>
    <t>Bush Somerset Collection Boo</t>
  </si>
  <si>
    <t>Furniture</t>
  </si>
  <si>
    <t>Hon Deluxe Fabric Upholstere</t>
  </si>
  <si>
    <t>Self-Adhesive Address Labels</t>
  </si>
  <si>
    <t>Office Supplies</t>
  </si>
  <si>
    <t>Reviewed</t>
  </si>
  <si>
    <t xml:space="preserve">Bretford CR4500 Series Slim </t>
  </si>
  <si>
    <t>Eldon Fold 'N Roll Cart Syst</t>
  </si>
  <si>
    <t>Eldon Expressions Wood and P</t>
  </si>
  <si>
    <t>Mitel 5320 IP Phone VoIP pho</t>
  </si>
  <si>
    <t>Technology</t>
  </si>
  <si>
    <t xml:space="preserve">DXL Angle-View Binders with </t>
  </si>
  <si>
    <t>Belkin F5C206VTEL 6 Outlet S</t>
  </si>
  <si>
    <t>Colour key (simulating what Go To Special would select):</t>
  </si>
  <si>
    <t>Section 6.5 — Splitting Data Values Using the Text to Columns Feature</t>
  </si>
  <si>
    <t>Tasks 1-5: Concatenated text dataset, split by space, different delimiters, larger dataset, advantages</t>
  </si>
  <si>
    <t>Task 1: Dataset with concatenated "FirstName LastName" values</t>
  </si>
  <si>
    <t>Full Name (concatenated)</t>
  </si>
  <si>
    <t>First Name
(Text to Columns, space delimiter)</t>
  </si>
  <si>
    <t>Last Name
(Text to Columns, space delimiter)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</si>
  <si>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</si>
  <si>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</si>
  <si>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</si>
  <si>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</si>
  <si>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</si>
  <si>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</si>
  <si>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</si>
  <si>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</si>
  <si>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</si>
  <si>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</si>
  <si>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</si>
  <si>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</si>
  <si>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Task 3: Different delimiter — "City, State" split by comma</t>
  </si>
  <si>
    <t>City, State (concatenated)</t>
  </si>
  <si>
    <t>City
(split on ", ")</t>
  </si>
  <si>
    <t>State
(split on ", ")</t>
  </si>
  <si>
    <t>Henderson, Kentucky</t>
  </si>
  <si>
    <t>Los Angeles, California</t>
  </si>
  <si>
    <t>Fort Lauderdale, Florida</t>
  </si>
  <si>
    <t>Concord, North Carolina</t>
  </si>
  <si>
    <t>Seattle, Washington</t>
  </si>
  <si>
    <t>Fort Worth, Texas</t>
  </si>
  <si>
    <t>Madison, Wisconsin</t>
  </si>
  <si>
    <t>West Jordan, Utah</t>
  </si>
  <si>
    <t>Section 6.6 — Using CONCATENATE and Ampersand (&amp;) to Join Values</t>
  </si>
  <si>
    <t>Tasks 1-5: Separate First/Last Name dataset, CONCATENATE, &amp; operator, comparison, when to use which</t>
  </si>
  <si>
    <t>First Name</t>
  </si>
  <si>
    <t>Last Name</t>
  </si>
  <si>
    <t>Full Name
=CONCATENATE(First," ",Last)</t>
  </si>
  <si>
    <t>Full Name
=First&amp;" "&amp;Last</t>
  </si>
  <si>
    <t>Identical Result?</t>
  </si>
  <si>
    <t>Claire</t>
  </si>
  <si>
    <t>Gute</t>
  </si>
  <si>
    <t>Darrin</t>
  </si>
  <si>
    <t>Van Huff</t>
  </si>
  <si>
    <t>Sean</t>
  </si>
  <si>
    <t>O'Donnell</t>
  </si>
  <si>
    <t>Brosina</t>
  </si>
  <si>
    <t>Hoffman</t>
  </si>
  <si>
    <t>Andrew</t>
  </si>
  <si>
    <t>Allen</t>
  </si>
  <si>
    <t>Irene</t>
  </si>
  <si>
    <t>Maddox</t>
  </si>
  <si>
    <t>Harold</t>
  </si>
  <si>
    <t>Pawlan</t>
  </si>
  <si>
    <t>Pete</t>
  </si>
  <si>
    <t>Kriz</t>
  </si>
  <si>
    <t>Alejandro</t>
  </si>
  <si>
    <t>Grove</t>
  </si>
  <si>
    <t>Zuschuss</t>
  </si>
  <si>
    <t>Donatelli</t>
  </si>
  <si>
    <t>Ken</t>
  </si>
  <si>
    <t>Black</t>
  </si>
  <si>
    <t>Sandra</t>
  </si>
  <si>
    <t>Flanagan</t>
  </si>
  <si>
    <t>Section 6.7 — Using the Find &amp; Replace Feature</t>
  </si>
  <si>
    <t>Tasks 1-5: Dataset with a repeated text/code, Find locations, Replace, wildcard replace, benefits</t>
  </si>
  <si>
    <t>Task 1: Dataset with a specific text value (Category = "Office Supplies") repeated many times</t>
  </si>
  <si>
    <t>Category (contains repeated text)</t>
  </si>
  <si>
    <t>Found?
(SEARCH-based)</t>
  </si>
  <si>
    <t>Tasks 3-4: After Find &amp; Replace — "Office Supplies" -&gt; "Office Prod." (plain), and a wildcard example</t>
  </si>
  <si>
    <t>Category (before)</t>
  </si>
  <si>
    <t>Category (after plain replace)</t>
  </si>
  <si>
    <t>Product Code (before)</t>
  </si>
  <si>
    <t>Product Code (after wildcard replace "OFF-*" -&gt; "SUPPLY-*")</t>
  </si>
  <si>
    <t>FUR-2000</t>
  </si>
  <si>
    <t>FUR-2001</t>
  </si>
  <si>
    <t>OFF-OF-2002</t>
  </si>
  <si>
    <t>FUR-2003</t>
  </si>
  <si>
    <t>OFF-OF-2004</t>
  </si>
  <si>
    <t>FUR-2005</t>
  </si>
  <si>
    <t>OFF-OF-2006</t>
  </si>
  <si>
    <t>TEC-2007</t>
  </si>
  <si>
    <t xml:space="preserve">Blue = Constants (typed values) </t>
  </si>
  <si>
    <t xml:space="preserve">Green = Formulas </t>
  </si>
  <si>
    <t xml:space="preserve">Orange = Blanks (Notes column)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</si>
</sst>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9" fillId="0" borderId="0" xfId="0" applyFont="1"/>
    <xf numFmtId="0" fontId="4" fillId="3" borderId="1" xfId="0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tabSelected="1" zoomScaleNormal="100" workbookViewId="0">
      <selection activeCell="B14" sqref="B14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5" spans="2:2" x14ac:dyDescent="0.25">
      <c r="B15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topLeftCell="A46" zoomScaleNormal="100" workbookViewId="0">
      <selection activeCell="A72" sqref="A72"/>
    </sheetView>
  </sheetViews>
  <sheetFormatPr defaultColWidth="8.7109375" defaultRowHeight="15" x14ac:dyDescent="0.25"/>
  <cols>
    <col min="1" max="1" width="32" customWidth="1"/>
    <col min="2" max="2" width="10" customWidth="1"/>
    <col min="3" max="3" width="12" customWidth="1"/>
    <col min="4" max="5" width="14" customWidth="1"/>
    <col min="6" max="6" width="12" customWidth="1"/>
  </cols>
  <sheetData>
    <row r="1" spans="1:4" ht="18" x14ac:dyDescent="0.25">
      <c r="A1" s="5" t="s">
        <v>12</v>
      </c>
    </row>
    <row r="2" spans="1:4" x14ac:dyDescent="0.25">
      <c r="A2" s="6" t="s">
        <v>13</v>
      </c>
    </row>
    <row r="4" spans="1:4" x14ac:dyDescent="0.25">
      <c r="A4" s="7" t="s">
        <v>14</v>
      </c>
    </row>
    <row r="5" spans="1:4" ht="60" x14ac:dyDescent="0.25">
      <c r="A5" s="8" t="s">
        <v>15</v>
      </c>
      <c r="B5" s="8" t="s">
        <v>16</v>
      </c>
      <c r="C5" s="8" t="s">
        <v>17</v>
      </c>
      <c r="D5" s="8" t="s">
        <v>18</v>
      </c>
    </row>
    <row r="6" spans="1:4" x14ac:dyDescent="0.25">
      <c r="A6" s="9" t="s">
        <v>19</v>
      </c>
      <c r="B6" s="9" t="s">
        <v>20</v>
      </c>
      <c r="C6" s="10">
        <v>261.95999999999998</v>
      </c>
      <c r="D6" s="11">
        <f>41.9136/C6</f>
        <v>0.16000000000000003</v>
      </c>
    </row>
    <row r="7" spans="1:4" x14ac:dyDescent="0.25">
      <c r="A7" s="9" t="s">
        <v>21</v>
      </c>
      <c r="B7" s="9" t="s">
        <v>20</v>
      </c>
      <c r="C7" s="10">
        <v>731.94</v>
      </c>
      <c r="D7" s="11">
        <f>219.582/C7</f>
        <v>0.3</v>
      </c>
    </row>
    <row r="8" spans="1:4" x14ac:dyDescent="0.25">
      <c r="A8" s="9" t="s">
        <v>22</v>
      </c>
      <c r="B8" s="9" t="s">
        <v>23</v>
      </c>
      <c r="C8" s="10">
        <v>14.62</v>
      </c>
      <c r="D8" s="11">
        <f>6.8714/C8</f>
        <v>0.47000000000000003</v>
      </c>
    </row>
    <row r="9" spans="1:4" x14ac:dyDescent="0.25">
      <c r="A9" s="9" t="s">
        <v>24</v>
      </c>
      <c r="B9" s="9" t="s">
        <v>20</v>
      </c>
      <c r="C9" s="10">
        <v>957.57749999999999</v>
      </c>
      <c r="D9" s="11">
        <f>-383.031/C9</f>
        <v>-0.4</v>
      </c>
    </row>
    <row r="10" spans="1:4" x14ac:dyDescent="0.25">
      <c r="A10" s="9" t="s">
        <v>25</v>
      </c>
      <c r="B10" s="9" t="s">
        <v>20</v>
      </c>
      <c r="C10" s="10">
        <v>22.367999999999999</v>
      </c>
      <c r="D10" s="11">
        <f>2.5164/C10</f>
        <v>0.1125</v>
      </c>
    </row>
    <row r="11" spans="1:4" x14ac:dyDescent="0.25">
      <c r="A11" s="9" t="s">
        <v>26</v>
      </c>
      <c r="B11" s="9" t="s">
        <v>23</v>
      </c>
      <c r="C11" s="10">
        <v>48.86</v>
      </c>
      <c r="D11" s="11">
        <f>14.1694/C11</f>
        <v>0.28999999999999998</v>
      </c>
    </row>
    <row r="12" spans="1:4" x14ac:dyDescent="0.25">
      <c r="A12" s="9" t="s">
        <v>27</v>
      </c>
      <c r="B12" s="9" t="s">
        <v>23</v>
      </c>
      <c r="C12" s="10">
        <v>7.28</v>
      </c>
      <c r="D12" s="11">
        <f>1.9656/C12</f>
        <v>0.27</v>
      </c>
    </row>
    <row r="13" spans="1:4" x14ac:dyDescent="0.25">
      <c r="A13" s="9" t="s">
        <v>28</v>
      </c>
      <c r="B13" s="9" t="s">
        <v>23</v>
      </c>
      <c r="C13" s="10">
        <v>907.15200000000004</v>
      </c>
      <c r="D13" s="11">
        <f>90.7152/C13</f>
        <v>9.9999999999999992E-2</v>
      </c>
    </row>
    <row r="14" spans="1:4" x14ac:dyDescent="0.25">
      <c r="A14" s="9" t="s">
        <v>29</v>
      </c>
      <c r="B14" s="9" t="s">
        <v>23</v>
      </c>
      <c r="C14" s="10">
        <v>18.504000000000001</v>
      </c>
      <c r="D14" s="11">
        <f>5.7825/C14</f>
        <v>0.31249999999999994</v>
      </c>
    </row>
    <row r="15" spans="1:4" x14ac:dyDescent="0.25">
      <c r="A15" s="9" t="s">
        <v>30</v>
      </c>
      <c r="B15" s="9" t="s">
        <v>23</v>
      </c>
      <c r="C15" s="10">
        <v>114.9</v>
      </c>
      <c r="D15" s="11">
        <f>34.47/C15</f>
        <v>0.3</v>
      </c>
    </row>
    <row r="16" spans="1:4" x14ac:dyDescent="0.25">
      <c r="A16" s="9" t="s">
        <v>19</v>
      </c>
      <c r="B16" s="9" t="s">
        <v>20</v>
      </c>
      <c r="C16" s="10">
        <v>261.95999999999998</v>
      </c>
      <c r="D16" s="11">
        <f>41.9136/C16</f>
        <v>0.16000000000000003</v>
      </c>
    </row>
    <row r="17" spans="1:4" x14ac:dyDescent="0.25">
      <c r="A17" s="9" t="s">
        <v>21</v>
      </c>
      <c r="B17" s="9" t="s">
        <v>20</v>
      </c>
      <c r="C17" s="10">
        <v>731.94</v>
      </c>
      <c r="D17" s="11">
        <f>219.582/C17</f>
        <v>0.3</v>
      </c>
    </row>
    <row r="18" spans="1:4" x14ac:dyDescent="0.25">
      <c r="A18" s="9" t="s">
        <v>22</v>
      </c>
      <c r="B18" s="9" t="s">
        <v>23</v>
      </c>
      <c r="C18" s="10">
        <v>14.62</v>
      </c>
      <c r="D18" s="11">
        <f>6.8714/C18</f>
        <v>0.47000000000000003</v>
      </c>
    </row>
    <row r="19" spans="1:4" x14ac:dyDescent="0.25">
      <c r="A19" s="9" t="s">
        <v>31</v>
      </c>
      <c r="B19" s="9" t="s">
        <v>32</v>
      </c>
      <c r="C19" s="10">
        <v>0</v>
      </c>
      <c r="D19" s="11" t="e">
        <f>0/C19</f>
        <v>#DIV/0!</v>
      </c>
    </row>
    <row r="20" spans="1:4" x14ac:dyDescent="0.25">
      <c r="A20" s="9" t="s">
        <v>33</v>
      </c>
      <c r="B20" s="9" t="s">
        <v>23</v>
      </c>
      <c r="C20" s="10">
        <v>0</v>
      </c>
      <c r="D20" s="11" t="e">
        <f>0/C20</f>
        <v>#DIV/0!</v>
      </c>
    </row>
    <row r="22" spans="1:4" x14ac:dyDescent="0.25">
      <c r="A22" s="7" t="s">
        <v>34</v>
      </c>
    </row>
    <row r="23" spans="1:4" ht="60" x14ac:dyDescent="0.25">
      <c r="A23" s="8" t="s">
        <v>15</v>
      </c>
      <c r="B23" s="8" t="s">
        <v>16</v>
      </c>
      <c r="C23" s="8" t="s">
        <v>17</v>
      </c>
      <c r="D23" s="8" t="s">
        <v>18</v>
      </c>
    </row>
    <row r="24" spans="1:4" x14ac:dyDescent="0.25">
      <c r="A24" s="9" t="s">
        <v>19</v>
      </c>
      <c r="B24" s="9" t="s">
        <v>20</v>
      </c>
      <c r="C24" s="10">
        <v>261.95999999999998</v>
      </c>
      <c r="D24" s="11">
        <f>41.9136/C24</f>
        <v>0.16000000000000003</v>
      </c>
    </row>
    <row r="25" spans="1:4" x14ac:dyDescent="0.25">
      <c r="A25" s="9" t="s">
        <v>21</v>
      </c>
      <c r="B25" s="9" t="s">
        <v>20</v>
      </c>
      <c r="C25" s="10">
        <v>731.94</v>
      </c>
      <c r="D25" s="11">
        <f>219.582/C25</f>
        <v>0.3</v>
      </c>
    </row>
    <row r="26" spans="1:4" x14ac:dyDescent="0.25">
      <c r="A26" s="9" t="s">
        <v>22</v>
      </c>
      <c r="B26" s="9" t="s">
        <v>23</v>
      </c>
      <c r="C26" s="10">
        <v>14.62</v>
      </c>
      <c r="D26" s="11">
        <f>6.8714/C26</f>
        <v>0.47000000000000003</v>
      </c>
    </row>
    <row r="27" spans="1:4" x14ac:dyDescent="0.25">
      <c r="A27" s="9" t="s">
        <v>24</v>
      </c>
      <c r="B27" s="9" t="s">
        <v>20</v>
      </c>
      <c r="C27" s="10">
        <v>957.57749999999999</v>
      </c>
      <c r="D27" s="11">
        <f>-383.031/C27</f>
        <v>-0.4</v>
      </c>
    </row>
    <row r="28" spans="1:4" x14ac:dyDescent="0.25">
      <c r="A28" s="9" t="s">
        <v>25</v>
      </c>
      <c r="B28" s="9" t="s">
        <v>20</v>
      </c>
      <c r="C28" s="10">
        <v>22.367999999999999</v>
      </c>
      <c r="D28" s="11">
        <f>2.5164/C28</f>
        <v>0.1125</v>
      </c>
    </row>
    <row r="29" spans="1:4" x14ac:dyDescent="0.25">
      <c r="A29" s="9" t="s">
        <v>26</v>
      </c>
      <c r="B29" s="9" t="s">
        <v>23</v>
      </c>
      <c r="C29" s="10">
        <v>48.86</v>
      </c>
      <c r="D29" s="11">
        <f>14.1694/C29</f>
        <v>0.28999999999999998</v>
      </c>
    </row>
    <row r="30" spans="1:4" x14ac:dyDescent="0.25">
      <c r="A30" s="9" t="s">
        <v>27</v>
      </c>
      <c r="B30" s="9" t="s">
        <v>23</v>
      </c>
      <c r="C30" s="10">
        <v>7.28</v>
      </c>
      <c r="D30" s="11">
        <f>1.9656/C30</f>
        <v>0.27</v>
      </c>
    </row>
    <row r="31" spans="1:4" x14ac:dyDescent="0.25">
      <c r="A31" s="9" t="s">
        <v>28</v>
      </c>
      <c r="B31" s="9" t="s">
        <v>23</v>
      </c>
      <c r="C31" s="10">
        <v>907.15200000000004</v>
      </c>
      <c r="D31" s="11">
        <f>90.7152/C31</f>
        <v>9.9999999999999992E-2</v>
      </c>
    </row>
    <row r="32" spans="1:4" x14ac:dyDescent="0.25">
      <c r="A32" s="9" t="s">
        <v>29</v>
      </c>
      <c r="B32" s="9" t="s">
        <v>23</v>
      </c>
      <c r="C32" s="10">
        <v>18.504000000000001</v>
      </c>
      <c r="D32" s="11">
        <f>5.7825/C32</f>
        <v>0.31249999999999994</v>
      </c>
    </row>
    <row r="33" spans="1:6" x14ac:dyDescent="0.25">
      <c r="A33" s="9" t="s">
        <v>30</v>
      </c>
      <c r="B33" s="9" t="s">
        <v>23</v>
      </c>
      <c r="C33" s="10">
        <v>114.9</v>
      </c>
      <c r="D33" s="11">
        <f>34.47/C33</f>
        <v>0.3</v>
      </c>
    </row>
    <row r="34" spans="1:6" x14ac:dyDescent="0.25">
      <c r="A34" s="9" t="s">
        <v>31</v>
      </c>
      <c r="B34" s="9" t="s">
        <v>32</v>
      </c>
      <c r="C34" s="10">
        <v>0</v>
      </c>
      <c r="D34" s="11" t="e">
        <f>0/C34</f>
        <v>#DIV/0!</v>
      </c>
    </row>
    <row r="35" spans="1:6" x14ac:dyDescent="0.25">
      <c r="A35" s="9" t="s">
        <v>33</v>
      </c>
      <c r="B35" s="9" t="s">
        <v>23</v>
      </c>
      <c r="C35" s="10">
        <v>0</v>
      </c>
      <c r="D35" s="11" t="e">
        <f>0/C35</f>
        <v>#DIV/0!</v>
      </c>
    </row>
    <row r="37" spans="1:6" x14ac:dyDescent="0.25">
      <c r="A37" s="7" t="s">
        <v>35</v>
      </c>
    </row>
    <row r="38" spans="1:6" ht="60" x14ac:dyDescent="0.25">
      <c r="A38" s="8" t="s">
        <v>15</v>
      </c>
      <c r="B38" s="8" t="s">
        <v>16</v>
      </c>
      <c r="C38" s="8" t="s">
        <v>17</v>
      </c>
      <c r="D38" s="8" t="s">
        <v>36</v>
      </c>
      <c r="E38" s="8" t="s">
        <v>37</v>
      </c>
      <c r="F38" s="8" t="s">
        <v>38</v>
      </c>
    </row>
    <row r="39" spans="1:6" x14ac:dyDescent="0.25">
      <c r="A39" s="9" t="s">
        <v>19</v>
      </c>
      <c r="B39" s="9" t="s">
        <v>20</v>
      </c>
      <c r="C39" s="10">
        <v>261.95999999999998</v>
      </c>
      <c r="D39" s="11">
        <f>41.9136/C39</f>
        <v>0.16000000000000003</v>
      </c>
      <c r="E39" s="9" t="str">
        <f t="shared" ref="E39:E48" si="0">IF(COUNTIF($A$39:$A$48,A39)&gt;1,"Duplicate","Unique")</f>
        <v>Unique</v>
      </c>
      <c r="F39" s="9" t="str">
        <f t="shared" ref="F39:F48" si="1">IF(ISERROR(D39),"Error","OK")</f>
        <v>OK</v>
      </c>
    </row>
    <row r="40" spans="1:6" x14ac:dyDescent="0.25">
      <c r="A40" s="9" t="s">
        <v>21</v>
      </c>
      <c r="B40" s="9" t="s">
        <v>20</v>
      </c>
      <c r="C40" s="10">
        <v>731.94</v>
      </c>
      <c r="D40" s="11">
        <f>219.582/C40</f>
        <v>0.3</v>
      </c>
      <c r="E40" s="9" t="str">
        <f t="shared" si="0"/>
        <v>Unique</v>
      </c>
      <c r="F40" s="9" t="str">
        <f t="shared" si="1"/>
        <v>OK</v>
      </c>
    </row>
    <row r="41" spans="1:6" x14ac:dyDescent="0.25">
      <c r="A41" s="9" t="s">
        <v>22</v>
      </c>
      <c r="B41" s="9" t="s">
        <v>23</v>
      </c>
      <c r="C41" s="10">
        <v>14.62</v>
      </c>
      <c r="D41" s="11">
        <f>6.8714/C41</f>
        <v>0.47000000000000003</v>
      </c>
      <c r="E41" s="9" t="str">
        <f t="shared" si="0"/>
        <v>Unique</v>
      </c>
      <c r="F41" s="9" t="str">
        <f t="shared" si="1"/>
        <v>OK</v>
      </c>
    </row>
    <row r="42" spans="1:6" x14ac:dyDescent="0.25">
      <c r="A42" s="9" t="s">
        <v>24</v>
      </c>
      <c r="B42" s="9" t="s">
        <v>20</v>
      </c>
      <c r="C42" s="10">
        <v>957.57749999999999</v>
      </c>
      <c r="D42" s="11">
        <f>-383.031/C42</f>
        <v>-0.4</v>
      </c>
      <c r="E42" s="9" t="str">
        <f t="shared" si="0"/>
        <v>Unique</v>
      </c>
      <c r="F42" s="9" t="str">
        <f t="shared" si="1"/>
        <v>OK</v>
      </c>
    </row>
    <row r="43" spans="1:6" x14ac:dyDescent="0.25">
      <c r="A43" s="9" t="s">
        <v>25</v>
      </c>
      <c r="B43" s="9" t="s">
        <v>20</v>
      </c>
      <c r="C43" s="10">
        <v>22.367999999999999</v>
      </c>
      <c r="D43" s="11">
        <f>2.5164/C43</f>
        <v>0.1125</v>
      </c>
      <c r="E43" s="9" t="str">
        <f t="shared" si="0"/>
        <v>Unique</v>
      </c>
      <c r="F43" s="9" t="str">
        <f t="shared" si="1"/>
        <v>OK</v>
      </c>
    </row>
    <row r="44" spans="1:6" x14ac:dyDescent="0.25">
      <c r="A44" s="9" t="s">
        <v>26</v>
      </c>
      <c r="B44" s="9" t="s">
        <v>23</v>
      </c>
      <c r="C44" s="10">
        <v>48.86</v>
      </c>
      <c r="D44" s="11">
        <f>14.1694/C44</f>
        <v>0.28999999999999998</v>
      </c>
      <c r="E44" s="9" t="str">
        <f t="shared" si="0"/>
        <v>Unique</v>
      </c>
      <c r="F44" s="9" t="str">
        <f t="shared" si="1"/>
        <v>OK</v>
      </c>
    </row>
    <row r="45" spans="1:6" x14ac:dyDescent="0.25">
      <c r="A45" s="9" t="s">
        <v>27</v>
      </c>
      <c r="B45" s="9" t="s">
        <v>23</v>
      </c>
      <c r="C45" s="10">
        <v>7.28</v>
      </c>
      <c r="D45" s="11">
        <f>1.9656/C45</f>
        <v>0.27</v>
      </c>
      <c r="E45" s="9" t="str">
        <f t="shared" si="0"/>
        <v>Unique</v>
      </c>
      <c r="F45" s="9" t="str">
        <f t="shared" si="1"/>
        <v>OK</v>
      </c>
    </row>
    <row r="46" spans="1:6" x14ac:dyDescent="0.25">
      <c r="A46" s="9" t="s">
        <v>28</v>
      </c>
      <c r="B46" s="9" t="s">
        <v>23</v>
      </c>
      <c r="C46" s="10">
        <v>907.15200000000004</v>
      </c>
      <c r="D46" s="11">
        <f>90.7152/C46</f>
        <v>9.9999999999999992E-2</v>
      </c>
      <c r="E46" s="9" t="str">
        <f t="shared" si="0"/>
        <v>Unique</v>
      </c>
      <c r="F46" s="9" t="str">
        <f t="shared" si="1"/>
        <v>OK</v>
      </c>
    </row>
    <row r="47" spans="1:6" x14ac:dyDescent="0.25">
      <c r="A47" s="9" t="s">
        <v>29</v>
      </c>
      <c r="B47" s="9" t="s">
        <v>23</v>
      </c>
      <c r="C47" s="10">
        <v>18.504000000000001</v>
      </c>
      <c r="D47" s="11">
        <f>5.7825/C47</f>
        <v>0.31249999999999994</v>
      </c>
      <c r="E47" s="9" t="str">
        <f t="shared" si="0"/>
        <v>Unique</v>
      </c>
      <c r="F47" s="9" t="str">
        <f t="shared" si="1"/>
        <v>OK</v>
      </c>
    </row>
    <row r="48" spans="1:6" x14ac:dyDescent="0.25">
      <c r="A48" s="9" t="s">
        <v>30</v>
      </c>
      <c r="B48" s="9" t="s">
        <v>23</v>
      </c>
      <c r="C48" s="10">
        <v>114.9</v>
      </c>
      <c r="D48" s="11">
        <f>34.47/C48</f>
        <v>0.3</v>
      </c>
      <c r="E48" s="9" t="str">
        <f t="shared" si="0"/>
        <v>Unique</v>
      </c>
      <c r="F48" s="9" t="str">
        <f t="shared" si="1"/>
        <v>OK</v>
      </c>
    </row>
    <row r="50" spans="1:1" x14ac:dyDescent="0.25">
      <c r="A50" s="12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</sheetData>
  <conditionalFormatting sqref="A6:A20">
    <cfRule type="expression" dxfId="0" priority="2">
      <formula>COUNTIF($A$6:$A$20,A6)&gt;1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zoomScaleNormal="100" workbookViewId="0">
      <selection activeCell="B26" sqref="B26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30.140625" bestFit="1" customWidth="1"/>
    <col min="5" max="5" width="28.85546875" bestFit="1" customWidth="1"/>
    <col min="6" max="7" width="13" customWidth="1"/>
  </cols>
  <sheetData>
    <row r="1" spans="1:7" ht="18" x14ac:dyDescent="0.25">
      <c r="A1" s="5" t="s">
        <v>39</v>
      </c>
    </row>
    <row r="2" spans="1:7" x14ac:dyDescent="0.25">
      <c r="A2" s="6" t="s">
        <v>40</v>
      </c>
    </row>
    <row r="4" spans="1:7" ht="60" x14ac:dyDescent="0.25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</row>
    <row r="5" spans="1:7" x14ac:dyDescent="0.25">
      <c r="A5" s="9" t="s">
        <v>46</v>
      </c>
      <c r="B5" s="9" t="str">
        <f t="shared" ref="B5:B12" si="0">UPPER(A5)</f>
        <v xml:space="preserve">  BUSH SOMERSET COLLECTION B   </v>
      </c>
      <c r="C5" s="9" t="str">
        <f t="shared" ref="C5:C12" si="1">PROPER(A5)</f>
        <v xml:space="preserve">  Bush Somerset Collection B   </v>
      </c>
      <c r="D5" s="9" t="str">
        <f t="shared" ref="D5:D12" si="2">LOWER(A5)</f>
        <v xml:space="preserve">  bush somerset collection b   </v>
      </c>
      <c r="E5" s="9" t="str">
        <f t="shared" ref="E5:E12" si="3">TRIM(A5)</f>
        <v>BUSH Somerset collection b</v>
      </c>
    </row>
    <row r="6" spans="1:7" x14ac:dyDescent="0.25">
      <c r="A6" s="9" t="s">
        <v>47</v>
      </c>
      <c r="B6" s="9" t="str">
        <f t="shared" si="0"/>
        <v xml:space="preserve">  HON DELUXE FABRIC UPHOLSTE   </v>
      </c>
      <c r="C6" s="9" t="str">
        <f t="shared" si="1"/>
        <v xml:space="preserve">  Hon Deluxe Fabric Upholste   </v>
      </c>
      <c r="D6" s="9" t="str">
        <f t="shared" si="2"/>
        <v xml:space="preserve">  hon deluxe fabric upholste   </v>
      </c>
      <c r="E6" s="9" t="str">
        <f t="shared" si="3"/>
        <v>HON DEluxe fabric upholste</v>
      </c>
    </row>
    <row r="7" spans="1:7" x14ac:dyDescent="0.25">
      <c r="A7" s="9" t="s">
        <v>48</v>
      </c>
      <c r="B7" s="9" t="str">
        <f t="shared" si="0"/>
        <v xml:space="preserve">  SELF-ADHESIVE ADDRESS LABE   </v>
      </c>
      <c r="C7" s="9" t="str">
        <f t="shared" si="1"/>
        <v xml:space="preserve">  Self-Adhesive Address Labe   </v>
      </c>
      <c r="D7" s="9" t="str">
        <f t="shared" si="2"/>
        <v xml:space="preserve">  self-adhesive address labe   </v>
      </c>
      <c r="E7" s="9" t="str">
        <f t="shared" si="3"/>
        <v>SELF-Adhesive address labe</v>
      </c>
    </row>
    <row r="8" spans="1:7" x14ac:dyDescent="0.25">
      <c r="A8" s="9" t="s">
        <v>49</v>
      </c>
      <c r="B8" s="9" t="str">
        <f t="shared" si="0"/>
        <v xml:space="preserve">  BRETFORD CR4500 SERIES SLI   </v>
      </c>
      <c r="C8" s="9" t="str">
        <f t="shared" si="1"/>
        <v xml:space="preserve">  Bretford Cr4500 Series Sli   </v>
      </c>
      <c r="D8" s="9" t="str">
        <f t="shared" si="2"/>
        <v xml:space="preserve">  bretford cr4500 series sli   </v>
      </c>
      <c r="E8" s="9" t="str">
        <f t="shared" si="3"/>
        <v>BRETFOrd cr4500 series sli</v>
      </c>
    </row>
    <row r="9" spans="1:7" x14ac:dyDescent="0.25">
      <c r="A9" s="9" t="s">
        <v>50</v>
      </c>
      <c r="B9" s="9" t="str">
        <f t="shared" si="0"/>
        <v xml:space="preserve">  ELDON FOLD 'N ROLL CART SY   </v>
      </c>
      <c r="C9" s="9" t="str">
        <f t="shared" si="1"/>
        <v xml:space="preserve">  Eldon Fold 'N Roll Cart Sy   </v>
      </c>
      <c r="D9" s="9" t="str">
        <f t="shared" si="2"/>
        <v xml:space="preserve">  eldon fold 'n roll cart sy   </v>
      </c>
      <c r="E9" s="9" t="str">
        <f t="shared" si="3"/>
        <v>ELDON fold 'n roll cart sy</v>
      </c>
    </row>
    <row r="10" spans="1:7" x14ac:dyDescent="0.25">
      <c r="A10" s="9" t="s">
        <v>51</v>
      </c>
      <c r="B10" s="9" t="str">
        <f t="shared" si="0"/>
        <v xml:space="preserve">  ELDON EXPRESSIONS WOOD AND   </v>
      </c>
      <c r="C10" s="9" t="str">
        <f t="shared" si="1"/>
        <v xml:space="preserve">  Eldon Expressions Wood And   </v>
      </c>
      <c r="D10" s="9" t="str">
        <f t="shared" si="2"/>
        <v xml:space="preserve">  eldon expressions wood and   </v>
      </c>
      <c r="E10" s="9" t="str">
        <f t="shared" si="3"/>
        <v>ELDON expressions wood and</v>
      </c>
    </row>
    <row r="11" spans="1:7" x14ac:dyDescent="0.25">
      <c r="A11" s="9" t="s">
        <v>52</v>
      </c>
      <c r="B11" s="9" t="str">
        <f t="shared" si="0"/>
        <v xml:space="preserve">  NEWELL 322   </v>
      </c>
      <c r="C11" s="9" t="str">
        <f t="shared" si="1"/>
        <v xml:space="preserve">  Newell 322   </v>
      </c>
      <c r="D11" s="9" t="str">
        <f t="shared" si="2"/>
        <v xml:space="preserve">  newell 322   </v>
      </c>
      <c r="E11" s="9" t="str">
        <f t="shared" si="3"/>
        <v>NEWELL 322</v>
      </c>
    </row>
    <row r="12" spans="1:7" x14ac:dyDescent="0.25">
      <c r="A12" s="9" t="s">
        <v>53</v>
      </c>
      <c r="B12" s="9" t="str">
        <f t="shared" si="0"/>
        <v xml:space="preserve">  MITEL 5320 IP PHONE VOIP P   </v>
      </c>
      <c r="C12" s="9" t="str">
        <f t="shared" si="1"/>
        <v xml:space="preserve">  Mitel 5320 Ip Phone Voip P   </v>
      </c>
      <c r="D12" s="9" t="str">
        <f t="shared" si="2"/>
        <v xml:space="preserve">  mitel 5320 ip phone voip p   </v>
      </c>
      <c r="E12" s="9" t="str">
        <f t="shared" si="3"/>
        <v>MITEL 5320 ip phone voip p</v>
      </c>
    </row>
    <row r="14" spans="1:7" x14ac:dyDescent="0.25">
      <c r="A14" s="7" t="s">
        <v>54</v>
      </c>
    </row>
    <row r="15" spans="1:7" ht="45" x14ac:dyDescent="0.25">
      <c r="A15" s="8" t="s">
        <v>55</v>
      </c>
      <c r="B15" s="8" t="s">
        <v>56</v>
      </c>
      <c r="C15" s="8" t="s">
        <v>57</v>
      </c>
      <c r="D15" s="8" t="s">
        <v>58</v>
      </c>
      <c r="E15" s="8" t="s">
        <v>59</v>
      </c>
      <c r="F15" s="8" t="s">
        <v>60</v>
      </c>
      <c r="G15" s="8" t="s">
        <v>61</v>
      </c>
    </row>
    <row r="16" spans="1:7" x14ac:dyDescent="0.25">
      <c r="A16" s="9" t="s">
        <v>62</v>
      </c>
      <c r="B16" s="10">
        <f t="shared" ref="B16:B23" si="4">VALUE(MID(A16,2,LEN(A16)-1))</f>
        <v>261.95999999999998</v>
      </c>
      <c r="C16" s="9" t="s">
        <v>63</v>
      </c>
      <c r="D16" s="9">
        <f t="shared" ref="D16:D23" si="5">LEN(C16)</f>
        <v>13</v>
      </c>
      <c r="E16" s="9" t="str">
        <f t="shared" ref="E16:E23" si="6">LEFT(C16,3)</f>
        <v>FUR</v>
      </c>
      <c r="F16" s="9" t="str">
        <f t="shared" ref="F16:F23" si="7">RIGHT(C16,4)</f>
        <v>1000</v>
      </c>
      <c r="G16" s="9" t="str">
        <f t="shared" ref="G16:G23" si="8">MID(C16,4,3)</f>
        <v>-20</v>
      </c>
    </row>
    <row r="17" spans="1:7" x14ac:dyDescent="0.25">
      <c r="A17" s="9" t="s">
        <v>64</v>
      </c>
      <c r="B17" s="10">
        <f t="shared" si="4"/>
        <v>731.94</v>
      </c>
      <c r="C17" s="9" t="s">
        <v>65</v>
      </c>
      <c r="D17" s="9">
        <f t="shared" si="5"/>
        <v>13</v>
      </c>
      <c r="E17" s="9" t="str">
        <f t="shared" si="6"/>
        <v>FUR</v>
      </c>
      <c r="F17" s="9" t="str">
        <f t="shared" si="7"/>
        <v>1001</v>
      </c>
      <c r="G17" s="9" t="str">
        <f t="shared" si="8"/>
        <v>-20</v>
      </c>
    </row>
    <row r="18" spans="1:7" x14ac:dyDescent="0.25">
      <c r="A18" s="9" t="s">
        <v>66</v>
      </c>
      <c r="B18" s="10">
        <f t="shared" si="4"/>
        <v>14.62</v>
      </c>
      <c r="C18" s="9" t="s">
        <v>67</v>
      </c>
      <c r="D18" s="9">
        <f t="shared" si="5"/>
        <v>13</v>
      </c>
      <c r="E18" s="9" t="str">
        <f t="shared" si="6"/>
        <v>OFF</v>
      </c>
      <c r="F18" s="9" t="str">
        <f t="shared" si="7"/>
        <v>1002</v>
      </c>
      <c r="G18" s="9" t="str">
        <f t="shared" si="8"/>
        <v>-20</v>
      </c>
    </row>
    <row r="19" spans="1:7" x14ac:dyDescent="0.25">
      <c r="A19" s="9" t="s">
        <v>68</v>
      </c>
      <c r="B19" s="10">
        <f t="shared" si="4"/>
        <v>957.58</v>
      </c>
      <c r="C19" s="9" t="s">
        <v>69</v>
      </c>
      <c r="D19" s="9">
        <f t="shared" si="5"/>
        <v>13</v>
      </c>
      <c r="E19" s="9" t="str">
        <f t="shared" si="6"/>
        <v>FUR</v>
      </c>
      <c r="F19" s="9" t="str">
        <f t="shared" si="7"/>
        <v>1003</v>
      </c>
      <c r="G19" s="9" t="str">
        <f t="shared" si="8"/>
        <v>-20</v>
      </c>
    </row>
    <row r="20" spans="1:7" x14ac:dyDescent="0.25">
      <c r="A20" s="9" t="s">
        <v>70</v>
      </c>
      <c r="B20" s="10">
        <f t="shared" si="4"/>
        <v>22.37</v>
      </c>
      <c r="C20" s="9" t="s">
        <v>71</v>
      </c>
      <c r="D20" s="9">
        <f t="shared" si="5"/>
        <v>13</v>
      </c>
      <c r="E20" s="9" t="str">
        <f t="shared" si="6"/>
        <v>OFF</v>
      </c>
      <c r="F20" s="9" t="str">
        <f t="shared" si="7"/>
        <v>1004</v>
      </c>
      <c r="G20" s="9" t="str">
        <f t="shared" si="8"/>
        <v>-20</v>
      </c>
    </row>
    <row r="21" spans="1:7" x14ac:dyDescent="0.25">
      <c r="A21" s="9" t="s">
        <v>72</v>
      </c>
      <c r="B21" s="10">
        <f t="shared" si="4"/>
        <v>48.86</v>
      </c>
      <c r="C21" s="9" t="s">
        <v>73</v>
      </c>
      <c r="D21" s="9">
        <f t="shared" si="5"/>
        <v>13</v>
      </c>
      <c r="E21" s="9" t="str">
        <f t="shared" si="6"/>
        <v>FUR</v>
      </c>
      <c r="F21" s="9" t="str">
        <f t="shared" si="7"/>
        <v>1005</v>
      </c>
      <c r="G21" s="9" t="str">
        <f t="shared" si="8"/>
        <v>-20</v>
      </c>
    </row>
    <row r="22" spans="1:7" x14ac:dyDescent="0.25">
      <c r="A22" s="9" t="s">
        <v>74</v>
      </c>
      <c r="B22" s="10">
        <f t="shared" si="4"/>
        <v>7.28</v>
      </c>
      <c r="C22" s="9" t="s">
        <v>75</v>
      </c>
      <c r="D22" s="9">
        <f t="shared" si="5"/>
        <v>13</v>
      </c>
      <c r="E22" s="9" t="str">
        <f t="shared" si="6"/>
        <v>OFF</v>
      </c>
      <c r="F22" s="9" t="str">
        <f t="shared" si="7"/>
        <v>1006</v>
      </c>
      <c r="G22" s="9" t="str">
        <f t="shared" si="8"/>
        <v>-20</v>
      </c>
    </row>
    <row r="23" spans="1:7" x14ac:dyDescent="0.25">
      <c r="A23" s="9" t="s">
        <v>76</v>
      </c>
      <c r="B23" s="10">
        <f t="shared" si="4"/>
        <v>907.15</v>
      </c>
      <c r="C23" s="9" t="s">
        <v>77</v>
      </c>
      <c r="D23" s="9">
        <f t="shared" si="5"/>
        <v>13</v>
      </c>
      <c r="E23" s="9" t="str">
        <f t="shared" si="6"/>
        <v>TEC</v>
      </c>
      <c r="F23" s="9" t="str">
        <f t="shared" si="7"/>
        <v>1007</v>
      </c>
      <c r="G23" s="9" t="str">
        <f t="shared" si="8"/>
        <v>-20</v>
      </c>
    </row>
    <row r="25" spans="1:7" x14ac:dyDescent="0.25">
      <c r="A25" s="12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opLeftCell="A10" zoomScaleNormal="100" workbookViewId="0">
      <selection activeCell="G42" sqref="G42"/>
    </sheetView>
  </sheetViews>
  <sheetFormatPr defaultColWidth="8.7109375" defaultRowHeight="15" x14ac:dyDescent="0.25"/>
  <cols>
    <col min="1" max="1" width="34" customWidth="1"/>
    <col min="2" max="3" width="22" customWidth="1"/>
    <col min="4" max="4" width="12" customWidth="1"/>
    <col min="5" max="5" width="26" customWidth="1"/>
  </cols>
  <sheetData>
    <row r="1" spans="1:5" ht="18" x14ac:dyDescent="0.25">
      <c r="A1" s="5" t="s">
        <v>78</v>
      </c>
    </row>
    <row r="2" spans="1:5" x14ac:dyDescent="0.25">
      <c r="A2" s="6" t="s">
        <v>79</v>
      </c>
    </row>
    <row r="4" spans="1:5" ht="30" customHeight="1" x14ac:dyDescent="0.25">
      <c r="A4" s="8" t="s">
        <v>15</v>
      </c>
      <c r="B4" s="8" t="s">
        <v>80</v>
      </c>
      <c r="C4" s="8" t="s">
        <v>81</v>
      </c>
      <c r="D4" s="8" t="s">
        <v>82</v>
      </c>
      <c r="E4" s="8" t="s">
        <v>83</v>
      </c>
    </row>
    <row r="5" spans="1:5" x14ac:dyDescent="0.25">
      <c r="A5" s="9" t="s">
        <v>28</v>
      </c>
      <c r="B5" s="9">
        <f t="shared" ref="B5:B10" si="0">IFERROR(SEARCH("phone",A5),"Not found (word absent)")</f>
        <v>15</v>
      </c>
      <c r="C5" s="9">
        <f t="shared" ref="C5:C10" si="1">IFERROR(FIND("Phone",A5),"Not found (word absent)")</f>
        <v>15</v>
      </c>
      <c r="D5" s="9" t="str">
        <f t="shared" ref="D5:D10" si="2">IF(B5=C5,"Same","Different")</f>
        <v>Same</v>
      </c>
      <c r="E5" s="9" t="str">
        <f t="shared" ref="E5:E10" si="3">IFERROR(MID(A5,SEARCH("phone",A5),5),"n/a")</f>
        <v>Phone</v>
      </c>
    </row>
    <row r="6" spans="1:5" x14ac:dyDescent="0.25">
      <c r="A6" s="9" t="s">
        <v>84</v>
      </c>
      <c r="B6" s="9">
        <f t="shared" si="0"/>
        <v>24</v>
      </c>
      <c r="C6" s="9" t="str">
        <f t="shared" si="1"/>
        <v>Not found (word absent)</v>
      </c>
      <c r="D6" s="9" t="str">
        <f t="shared" si="2"/>
        <v>Different</v>
      </c>
      <c r="E6" s="9" t="str">
        <f t="shared" si="3"/>
        <v>phone</v>
      </c>
    </row>
    <row r="7" spans="1:5" x14ac:dyDescent="0.25">
      <c r="A7" s="9" t="s">
        <v>19</v>
      </c>
      <c r="B7" s="9" t="str">
        <f t="shared" si="0"/>
        <v>Not found (word absent)</v>
      </c>
      <c r="C7" s="9" t="str">
        <f t="shared" si="1"/>
        <v>Not found (word absent)</v>
      </c>
      <c r="D7" s="9" t="str">
        <f t="shared" si="2"/>
        <v>Same</v>
      </c>
      <c r="E7" s="9" t="str">
        <f t="shared" si="3"/>
        <v>n/a</v>
      </c>
    </row>
    <row r="8" spans="1:5" x14ac:dyDescent="0.25">
      <c r="A8" s="9" t="s">
        <v>21</v>
      </c>
      <c r="B8" s="9" t="str">
        <f t="shared" si="0"/>
        <v>Not found (word absent)</v>
      </c>
      <c r="C8" s="9" t="str">
        <f t="shared" si="1"/>
        <v>Not found (word absent)</v>
      </c>
      <c r="D8" s="9" t="str">
        <f t="shared" si="2"/>
        <v>Same</v>
      </c>
      <c r="E8" s="9" t="str">
        <f t="shared" si="3"/>
        <v>n/a</v>
      </c>
    </row>
    <row r="9" spans="1:5" x14ac:dyDescent="0.25">
      <c r="A9" s="9" t="s">
        <v>22</v>
      </c>
      <c r="B9" s="9" t="str">
        <f t="shared" si="0"/>
        <v>Not found (word absent)</v>
      </c>
      <c r="C9" s="9" t="str">
        <f t="shared" si="1"/>
        <v>Not found (word absent)</v>
      </c>
      <c r="D9" s="9" t="str">
        <f t="shared" si="2"/>
        <v>Same</v>
      </c>
      <c r="E9" s="9" t="str">
        <f t="shared" si="3"/>
        <v>n/a</v>
      </c>
    </row>
    <row r="10" spans="1:5" x14ac:dyDescent="0.25">
      <c r="A10" s="9" t="s">
        <v>24</v>
      </c>
      <c r="B10" s="9" t="str">
        <f t="shared" si="0"/>
        <v>Not found (word absent)</v>
      </c>
      <c r="C10" s="9" t="str">
        <f t="shared" si="1"/>
        <v>Not found (word absent)</v>
      </c>
      <c r="D10" s="9" t="str">
        <f t="shared" si="2"/>
        <v>Same</v>
      </c>
      <c r="E10" s="9" t="str">
        <f t="shared" si="3"/>
        <v>n/a</v>
      </c>
    </row>
    <row r="12" spans="1:5" x14ac:dyDescent="0.25">
      <c r="A12" s="12"/>
    </row>
    <row r="13" spans="1:5" x14ac:dyDescent="0.25">
      <c r="A13" s="6"/>
    </row>
    <row r="14" spans="1:5" x14ac:dyDescent="0.25">
      <c r="A14" s="6"/>
    </row>
    <row r="15" spans="1:5" x14ac:dyDescent="0.25">
      <c r="A15" s="6"/>
    </row>
    <row r="16" spans="1:5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zoomScaleNormal="100" workbookViewId="0">
      <selection activeCell="C24" sqref="C24"/>
    </sheetView>
  </sheetViews>
  <sheetFormatPr defaultColWidth="8.7109375" defaultRowHeight="15" x14ac:dyDescent="0.25"/>
  <cols>
    <col min="1" max="1" width="30" customWidth="1"/>
    <col min="2" max="2" width="16" customWidth="1"/>
    <col min="3" max="3" width="12" customWidth="1"/>
    <col min="4" max="4" width="16" customWidth="1"/>
    <col min="5" max="5" width="22" customWidth="1"/>
  </cols>
  <sheetData>
    <row r="1" spans="1:5" ht="18" x14ac:dyDescent="0.25">
      <c r="A1" s="5" t="s">
        <v>85</v>
      </c>
    </row>
    <row r="2" spans="1:5" x14ac:dyDescent="0.25">
      <c r="A2" s="6" t="s">
        <v>86</v>
      </c>
    </row>
    <row r="4" spans="1:5" x14ac:dyDescent="0.25">
      <c r="A4" s="7" t="s">
        <v>87</v>
      </c>
    </row>
    <row r="5" spans="1:5" ht="45" x14ac:dyDescent="0.25">
      <c r="A5" s="8" t="s">
        <v>15</v>
      </c>
      <c r="B5" s="8" t="s">
        <v>88</v>
      </c>
      <c r="C5" s="8" t="s">
        <v>17</v>
      </c>
      <c r="D5" s="8" t="s">
        <v>89</v>
      </c>
      <c r="E5" s="8" t="s">
        <v>90</v>
      </c>
    </row>
    <row r="6" spans="1:5" x14ac:dyDescent="0.25">
      <c r="A6" s="13" t="s">
        <v>91</v>
      </c>
      <c r="B6" s="13" t="s">
        <v>92</v>
      </c>
      <c r="C6" s="14">
        <v>261.95999999999998</v>
      </c>
      <c r="D6" s="15">
        <f t="shared" ref="D6:D15" si="0">C6*1.1</f>
        <v>288.15600000000001</v>
      </c>
      <c r="E6" s="16"/>
    </row>
    <row r="7" spans="1:5" x14ac:dyDescent="0.25">
      <c r="A7" s="13" t="s">
        <v>93</v>
      </c>
      <c r="B7" s="13" t="s">
        <v>92</v>
      </c>
      <c r="C7" s="14">
        <v>731.94</v>
      </c>
      <c r="D7" s="15">
        <f t="shared" si="0"/>
        <v>805.13400000000013</v>
      </c>
      <c r="E7" s="16"/>
    </row>
    <row r="8" spans="1:5" x14ac:dyDescent="0.25">
      <c r="A8" s="13" t="s">
        <v>94</v>
      </c>
      <c r="B8" s="13" t="s">
        <v>95</v>
      </c>
      <c r="C8" s="14">
        <v>14.62</v>
      </c>
      <c r="D8" s="15">
        <f t="shared" si="0"/>
        <v>16.082000000000001</v>
      </c>
      <c r="E8" s="17" t="s">
        <v>96</v>
      </c>
    </row>
    <row r="9" spans="1:5" x14ac:dyDescent="0.25">
      <c r="A9" s="13" t="s">
        <v>97</v>
      </c>
      <c r="B9" s="13" t="s">
        <v>92</v>
      </c>
      <c r="C9" s="14">
        <v>957.57749999999999</v>
      </c>
      <c r="D9" s="15">
        <f t="shared" si="0"/>
        <v>1053.3352500000001</v>
      </c>
      <c r="E9" s="16"/>
    </row>
    <row r="10" spans="1:5" x14ac:dyDescent="0.25">
      <c r="A10" s="13" t="s">
        <v>98</v>
      </c>
      <c r="B10" s="13" t="s">
        <v>95</v>
      </c>
      <c r="C10" s="14">
        <v>22.367999999999999</v>
      </c>
      <c r="D10" s="15">
        <f t="shared" si="0"/>
        <v>24.604800000000001</v>
      </c>
      <c r="E10" s="16"/>
    </row>
    <row r="11" spans="1:5" x14ac:dyDescent="0.25">
      <c r="A11" s="13" t="s">
        <v>99</v>
      </c>
      <c r="B11" s="13" t="s">
        <v>92</v>
      </c>
      <c r="C11" s="14">
        <v>48.86</v>
      </c>
      <c r="D11" s="15">
        <f t="shared" si="0"/>
        <v>53.746000000000002</v>
      </c>
      <c r="E11" s="17" t="s">
        <v>96</v>
      </c>
    </row>
    <row r="12" spans="1:5" x14ac:dyDescent="0.25">
      <c r="A12" s="13" t="s">
        <v>27</v>
      </c>
      <c r="B12" s="13" t="s">
        <v>95</v>
      </c>
      <c r="C12" s="14">
        <v>7.28</v>
      </c>
      <c r="D12" s="15">
        <f t="shared" si="0"/>
        <v>8.0080000000000009</v>
      </c>
      <c r="E12" s="16"/>
    </row>
    <row r="13" spans="1:5" x14ac:dyDescent="0.25">
      <c r="A13" s="13" t="s">
        <v>100</v>
      </c>
      <c r="B13" s="13" t="s">
        <v>101</v>
      </c>
      <c r="C13" s="14">
        <v>907.15200000000004</v>
      </c>
      <c r="D13" s="15">
        <f t="shared" si="0"/>
        <v>997.86720000000014</v>
      </c>
      <c r="E13" s="16"/>
    </row>
    <row r="14" spans="1:5" x14ac:dyDescent="0.25">
      <c r="A14" s="13" t="s">
        <v>102</v>
      </c>
      <c r="B14" s="13" t="s">
        <v>95</v>
      </c>
      <c r="C14" s="14">
        <v>18.504000000000001</v>
      </c>
      <c r="D14" s="15">
        <f t="shared" si="0"/>
        <v>20.354400000000002</v>
      </c>
      <c r="E14" s="17" t="s">
        <v>96</v>
      </c>
    </row>
    <row r="15" spans="1:5" x14ac:dyDescent="0.25">
      <c r="A15" s="13" t="s">
        <v>103</v>
      </c>
      <c r="B15" s="13" t="s">
        <v>95</v>
      </c>
      <c r="C15" s="14">
        <v>114.9</v>
      </c>
      <c r="D15" s="15">
        <f t="shared" si="0"/>
        <v>126.39000000000001</v>
      </c>
      <c r="E15" s="16"/>
    </row>
    <row r="17" spans="1:1" x14ac:dyDescent="0.25">
      <c r="A17" s="12" t="s">
        <v>104</v>
      </c>
    </row>
    <row r="18" spans="1:1" x14ac:dyDescent="0.25">
      <c r="A18" s="18" t="s">
        <v>184</v>
      </c>
    </row>
    <row r="19" spans="1:1" x14ac:dyDescent="0.25">
      <c r="A19" s="19" t="s">
        <v>185</v>
      </c>
    </row>
    <row r="20" spans="1:1" x14ac:dyDescent="0.25">
      <c r="A20" s="20" t="s">
        <v>186</v>
      </c>
    </row>
    <row r="22" spans="1:1" x14ac:dyDescent="0.25">
      <c r="A22" s="12"/>
    </row>
    <row r="23" spans="1:1" x14ac:dyDescent="0.25">
      <c r="A23" s="6"/>
    </row>
    <row r="24" spans="1:1" x14ac:dyDescent="0.25">
      <c r="A24" s="6"/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topLeftCell="A16" zoomScaleNormal="100" workbookViewId="0">
      <selection activeCell="A30" sqref="A30:A40"/>
    </sheetView>
  </sheetViews>
  <sheetFormatPr defaultColWidth="8.7109375" defaultRowHeight="15" x14ac:dyDescent="0.25"/>
  <cols>
    <col min="1" max="1" width="26" customWidth="1"/>
    <col min="2" max="2" width="22" customWidth="1"/>
    <col min="3" max="3" width="18" customWidth="1"/>
  </cols>
  <sheetData>
    <row r="1" spans="1:3" ht="18" x14ac:dyDescent="0.25">
      <c r="A1" s="5" t="s">
        <v>105</v>
      </c>
    </row>
    <row r="2" spans="1:3" x14ac:dyDescent="0.25">
      <c r="A2" s="6" t="s">
        <v>106</v>
      </c>
    </row>
    <row r="4" spans="1:3" x14ac:dyDescent="0.25">
      <c r="A4" s="7" t="s">
        <v>107</v>
      </c>
    </row>
    <row r="5" spans="1:3" ht="60" x14ac:dyDescent="0.25">
      <c r="A5" s="8" t="s">
        <v>108</v>
      </c>
      <c r="B5" s="8" t="s">
        <v>109</v>
      </c>
      <c r="C5" s="8" t="s">
        <v>110</v>
      </c>
    </row>
    <row r="6" spans="1:3" x14ac:dyDescent="0.25">
      <c r="A6" s="9" t="s">
        <v>111</v>
      </c>
      <c r="B6" s="9" t="str">
        <f t="shared" ref="B6:B17" si="0">LEFT(A6,FIND(" ",A6)-1)</f>
        <v>Claire</v>
      </c>
      <c r="C6" s="9" t="str">
        <f t="shared" ref="C6:C17" si="1">MID(A6,FIND(" ",A6)+1,LEN(A6))</f>
        <v>Gute</v>
      </c>
    </row>
    <row r="7" spans="1:3" x14ac:dyDescent="0.25">
      <c r="A7" s="9" t="s">
        <v>112</v>
      </c>
      <c r="B7" s="9" t="str">
        <f t="shared" si="0"/>
        <v>Darrin</v>
      </c>
      <c r="C7" s="9" t="str">
        <f t="shared" si="1"/>
        <v>Van Huff</v>
      </c>
    </row>
    <row r="8" spans="1:3" x14ac:dyDescent="0.25">
      <c r="A8" s="9" t="s">
        <v>113</v>
      </c>
      <c r="B8" s="9" t="str">
        <f t="shared" si="0"/>
        <v>Sean</v>
      </c>
      <c r="C8" s="9" t="str">
        <f t="shared" si="1"/>
        <v>O'Donnell</v>
      </c>
    </row>
    <row r="9" spans="1:3" x14ac:dyDescent="0.25">
      <c r="A9" s="9" t="s">
        <v>114</v>
      </c>
      <c r="B9" s="9" t="str">
        <f t="shared" si="0"/>
        <v>Brosina</v>
      </c>
      <c r="C9" s="9" t="str">
        <f t="shared" si="1"/>
        <v>Hoffman</v>
      </c>
    </row>
    <row r="10" spans="1:3" x14ac:dyDescent="0.25">
      <c r="A10" s="9" t="s">
        <v>115</v>
      </c>
      <c r="B10" s="9" t="str">
        <f t="shared" si="0"/>
        <v>Andrew</v>
      </c>
      <c r="C10" s="9" t="str">
        <f t="shared" si="1"/>
        <v>Allen</v>
      </c>
    </row>
    <row r="11" spans="1:3" x14ac:dyDescent="0.25">
      <c r="A11" s="9" t="s">
        <v>116</v>
      </c>
      <c r="B11" s="9" t="str">
        <f t="shared" si="0"/>
        <v>Irene</v>
      </c>
      <c r="C11" s="9" t="str">
        <f t="shared" si="1"/>
        <v>Maddox</v>
      </c>
    </row>
    <row r="12" spans="1:3" x14ac:dyDescent="0.25">
      <c r="A12" s="9" t="s">
        <v>117</v>
      </c>
      <c r="B12" s="9" t="str">
        <f t="shared" si="0"/>
        <v>Harold</v>
      </c>
      <c r="C12" s="9" t="str">
        <f t="shared" si="1"/>
        <v>Pawlan</v>
      </c>
    </row>
    <row r="13" spans="1:3" x14ac:dyDescent="0.25">
      <c r="A13" s="9" t="s">
        <v>118</v>
      </c>
      <c r="B13" s="9" t="str">
        <f t="shared" si="0"/>
        <v>Pete</v>
      </c>
      <c r="C13" s="9" t="str">
        <f t="shared" si="1"/>
        <v>Kriz</v>
      </c>
    </row>
    <row r="14" spans="1:3" x14ac:dyDescent="0.25">
      <c r="A14" s="9" t="s">
        <v>119</v>
      </c>
      <c r="B14" s="9" t="str">
        <f t="shared" si="0"/>
        <v>Alejandro</v>
      </c>
      <c r="C14" s="9" t="str">
        <f t="shared" si="1"/>
        <v>Grove</v>
      </c>
    </row>
    <row r="15" spans="1:3" x14ac:dyDescent="0.25">
      <c r="A15" s="9" t="s">
        <v>120</v>
      </c>
      <c r="B15" s="9" t="str">
        <f t="shared" si="0"/>
        <v>Zuschuss</v>
      </c>
      <c r="C15" s="9" t="str">
        <f t="shared" si="1"/>
        <v>Donatelli</v>
      </c>
    </row>
    <row r="16" spans="1:3" x14ac:dyDescent="0.25">
      <c r="A16" s="9" t="s">
        <v>121</v>
      </c>
      <c r="B16" s="9" t="str">
        <f t="shared" si="0"/>
        <v>Ken</v>
      </c>
      <c r="C16" s="9" t="str">
        <f t="shared" si="1"/>
        <v>Black</v>
      </c>
    </row>
    <row r="17" spans="1:3" x14ac:dyDescent="0.25">
      <c r="A17" s="9" t="s">
        <v>122</v>
      </c>
      <c r="B17" s="9" t="str">
        <f t="shared" si="0"/>
        <v>Sandra</v>
      </c>
      <c r="C17" s="9" t="str">
        <f t="shared" si="1"/>
        <v>Flanagan</v>
      </c>
    </row>
    <row r="19" spans="1:3" x14ac:dyDescent="0.25">
      <c r="A19" s="7" t="s">
        <v>123</v>
      </c>
    </row>
    <row r="20" spans="1:3" ht="30" x14ac:dyDescent="0.25">
      <c r="A20" s="8" t="s">
        <v>124</v>
      </c>
      <c r="B20" s="8" t="s">
        <v>125</v>
      </c>
      <c r="C20" s="8" t="s">
        <v>126</v>
      </c>
    </row>
    <row r="21" spans="1:3" x14ac:dyDescent="0.25">
      <c r="A21" s="9" t="s">
        <v>127</v>
      </c>
      <c r="B21" s="9" t="str">
        <f t="shared" ref="B21:B28" si="2">LEFT(A21,FIND(",",A21)-1)</f>
        <v>Henderson</v>
      </c>
      <c r="C21" s="9" t="str">
        <f t="shared" ref="C21:C28" si="3">TRIM(MID(A21,FIND(",",A21)+1,LEN(A21)))</f>
        <v>Kentucky</v>
      </c>
    </row>
    <row r="22" spans="1:3" x14ac:dyDescent="0.25">
      <c r="A22" s="9" t="s">
        <v>128</v>
      </c>
      <c r="B22" s="9" t="str">
        <f t="shared" si="2"/>
        <v>Los Angeles</v>
      </c>
      <c r="C22" s="9" t="str">
        <f t="shared" si="3"/>
        <v>California</v>
      </c>
    </row>
    <row r="23" spans="1:3" x14ac:dyDescent="0.25">
      <c r="A23" s="9" t="s">
        <v>129</v>
      </c>
      <c r="B23" s="9" t="str">
        <f t="shared" si="2"/>
        <v>Fort Lauderdale</v>
      </c>
      <c r="C23" s="9" t="str">
        <f t="shared" si="3"/>
        <v>Florida</v>
      </c>
    </row>
    <row r="24" spans="1:3" x14ac:dyDescent="0.25">
      <c r="A24" s="9" t="s">
        <v>130</v>
      </c>
      <c r="B24" s="9" t="str">
        <f t="shared" si="2"/>
        <v>Concord</v>
      </c>
      <c r="C24" s="9" t="str">
        <f t="shared" si="3"/>
        <v>North Carolina</v>
      </c>
    </row>
    <row r="25" spans="1:3" x14ac:dyDescent="0.25">
      <c r="A25" s="9" t="s">
        <v>131</v>
      </c>
      <c r="B25" s="9" t="str">
        <f t="shared" si="2"/>
        <v>Seattle</v>
      </c>
      <c r="C25" s="9" t="str">
        <f t="shared" si="3"/>
        <v>Washington</v>
      </c>
    </row>
    <row r="26" spans="1:3" x14ac:dyDescent="0.25">
      <c r="A26" s="9" t="s">
        <v>132</v>
      </c>
      <c r="B26" s="9" t="str">
        <f t="shared" si="2"/>
        <v>Fort Worth</v>
      </c>
      <c r="C26" s="9" t="str">
        <f t="shared" si="3"/>
        <v>Texas</v>
      </c>
    </row>
    <row r="27" spans="1:3" x14ac:dyDescent="0.25">
      <c r="A27" s="9" t="s">
        <v>133</v>
      </c>
      <c r="B27" s="9" t="str">
        <f t="shared" si="2"/>
        <v>Madison</v>
      </c>
      <c r="C27" s="9" t="str">
        <f t="shared" si="3"/>
        <v>Wisconsin</v>
      </c>
    </row>
    <row r="28" spans="1:3" x14ac:dyDescent="0.25">
      <c r="A28" s="9" t="s">
        <v>134</v>
      </c>
      <c r="B28" s="9" t="str">
        <f t="shared" si="2"/>
        <v>West Jordan</v>
      </c>
      <c r="C28" s="9" t="str">
        <f t="shared" si="3"/>
        <v>Utah</v>
      </c>
    </row>
    <row r="30" spans="1:3" x14ac:dyDescent="0.25">
      <c r="A30" s="12"/>
    </row>
    <row r="31" spans="1:3" x14ac:dyDescent="0.25">
      <c r="A31" s="6"/>
    </row>
    <row r="32" spans="1:3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zoomScaleNormal="100" workbookViewId="0">
      <selection activeCell="A18" sqref="A18:B27"/>
    </sheetView>
  </sheetViews>
  <sheetFormatPr defaultColWidth="8.7109375" defaultRowHeight="15" x14ac:dyDescent="0.25"/>
  <cols>
    <col min="1" max="2" width="16" customWidth="1"/>
    <col min="3" max="4" width="26" customWidth="1"/>
    <col min="5" max="5" width="14" customWidth="1"/>
  </cols>
  <sheetData>
    <row r="1" spans="1:5" ht="18" x14ac:dyDescent="0.25">
      <c r="A1" s="5" t="s">
        <v>135</v>
      </c>
    </row>
    <row r="2" spans="1:5" x14ac:dyDescent="0.25">
      <c r="A2" s="6" t="s">
        <v>136</v>
      </c>
    </row>
    <row r="4" spans="1:5" ht="27.75" customHeight="1" x14ac:dyDescent="0.25">
      <c r="A4" s="8" t="s">
        <v>137</v>
      </c>
      <c r="B4" s="8" t="s">
        <v>138</v>
      </c>
      <c r="C4" s="8" t="s">
        <v>139</v>
      </c>
      <c r="D4" s="8" t="s">
        <v>140</v>
      </c>
      <c r="E4" s="8" t="s">
        <v>141</v>
      </c>
    </row>
    <row r="5" spans="1:5" x14ac:dyDescent="0.25">
      <c r="A5" s="9" t="s">
        <v>142</v>
      </c>
      <c r="B5" s="9" t="s">
        <v>143</v>
      </c>
      <c r="C5" s="9" t="str">
        <f t="shared" ref="C5:C16" si="0">CONCATENATE(A5," ",B5)</f>
        <v>Claire Gute</v>
      </c>
      <c r="D5" s="9" t="str">
        <f t="shared" ref="D5:D16" si="1">A5&amp;" "&amp;B5</f>
        <v>Claire Gute</v>
      </c>
      <c r="E5" s="9" t="str">
        <f t="shared" ref="E5:E16" si="2">IF(C5=D5,"Yes","No")</f>
        <v>Yes</v>
      </c>
    </row>
    <row r="6" spans="1:5" x14ac:dyDescent="0.25">
      <c r="A6" s="9" t="s">
        <v>144</v>
      </c>
      <c r="B6" s="9" t="s">
        <v>145</v>
      </c>
      <c r="C6" s="9" t="str">
        <f t="shared" si="0"/>
        <v>Darrin Van Huff</v>
      </c>
      <c r="D6" s="9" t="str">
        <f t="shared" si="1"/>
        <v>Darrin Van Huff</v>
      </c>
      <c r="E6" s="9" t="str">
        <f t="shared" si="2"/>
        <v>Yes</v>
      </c>
    </row>
    <row r="7" spans="1:5" x14ac:dyDescent="0.25">
      <c r="A7" s="9" t="s">
        <v>146</v>
      </c>
      <c r="B7" s="9" t="s">
        <v>147</v>
      </c>
      <c r="C7" s="9" t="str">
        <f t="shared" si="0"/>
        <v>Sean O'Donnell</v>
      </c>
      <c r="D7" s="9" t="str">
        <f t="shared" si="1"/>
        <v>Sean O'Donnell</v>
      </c>
      <c r="E7" s="9" t="str">
        <f t="shared" si="2"/>
        <v>Yes</v>
      </c>
    </row>
    <row r="8" spans="1:5" x14ac:dyDescent="0.25">
      <c r="A8" s="9" t="s">
        <v>148</v>
      </c>
      <c r="B8" s="9" t="s">
        <v>149</v>
      </c>
      <c r="C8" s="9" t="str">
        <f t="shared" si="0"/>
        <v>Brosina Hoffman</v>
      </c>
      <c r="D8" s="9" t="str">
        <f t="shared" si="1"/>
        <v>Brosina Hoffman</v>
      </c>
      <c r="E8" s="9" t="str">
        <f t="shared" si="2"/>
        <v>Yes</v>
      </c>
    </row>
    <row r="9" spans="1:5" x14ac:dyDescent="0.25">
      <c r="A9" s="9" t="s">
        <v>150</v>
      </c>
      <c r="B9" s="9" t="s">
        <v>151</v>
      </c>
      <c r="C9" s="9" t="str">
        <f t="shared" si="0"/>
        <v>Andrew Allen</v>
      </c>
      <c r="D9" s="9" t="str">
        <f t="shared" si="1"/>
        <v>Andrew Allen</v>
      </c>
      <c r="E9" s="9" t="str">
        <f t="shared" si="2"/>
        <v>Yes</v>
      </c>
    </row>
    <row r="10" spans="1:5" x14ac:dyDescent="0.25">
      <c r="A10" s="9" t="s">
        <v>152</v>
      </c>
      <c r="B10" s="9" t="s">
        <v>153</v>
      </c>
      <c r="C10" s="9" t="str">
        <f t="shared" si="0"/>
        <v>Irene Maddox</v>
      </c>
      <c r="D10" s="9" t="str">
        <f t="shared" si="1"/>
        <v>Irene Maddox</v>
      </c>
      <c r="E10" s="9" t="str">
        <f t="shared" si="2"/>
        <v>Yes</v>
      </c>
    </row>
    <row r="11" spans="1:5" x14ac:dyDescent="0.25">
      <c r="A11" s="9" t="s">
        <v>154</v>
      </c>
      <c r="B11" s="9" t="s">
        <v>155</v>
      </c>
      <c r="C11" s="9" t="str">
        <f t="shared" si="0"/>
        <v>Harold Pawlan</v>
      </c>
      <c r="D11" s="9" t="str">
        <f t="shared" si="1"/>
        <v>Harold Pawlan</v>
      </c>
      <c r="E11" s="9" t="str">
        <f t="shared" si="2"/>
        <v>Yes</v>
      </c>
    </row>
    <row r="12" spans="1:5" x14ac:dyDescent="0.25">
      <c r="A12" s="9" t="s">
        <v>156</v>
      </c>
      <c r="B12" s="9" t="s">
        <v>157</v>
      </c>
      <c r="C12" s="9" t="str">
        <f t="shared" si="0"/>
        <v>Pete Kriz</v>
      </c>
      <c r="D12" s="9" t="str">
        <f t="shared" si="1"/>
        <v>Pete Kriz</v>
      </c>
      <c r="E12" s="9" t="str">
        <f t="shared" si="2"/>
        <v>Yes</v>
      </c>
    </row>
    <row r="13" spans="1:5" x14ac:dyDescent="0.25">
      <c r="A13" s="9" t="s">
        <v>158</v>
      </c>
      <c r="B13" s="9" t="s">
        <v>159</v>
      </c>
      <c r="C13" s="9" t="str">
        <f t="shared" si="0"/>
        <v>Alejandro Grove</v>
      </c>
      <c r="D13" s="9" t="str">
        <f t="shared" si="1"/>
        <v>Alejandro Grove</v>
      </c>
      <c r="E13" s="9" t="str">
        <f t="shared" si="2"/>
        <v>Yes</v>
      </c>
    </row>
    <row r="14" spans="1:5" x14ac:dyDescent="0.25">
      <c r="A14" s="9" t="s">
        <v>160</v>
      </c>
      <c r="B14" s="9" t="s">
        <v>161</v>
      </c>
      <c r="C14" s="9" t="str">
        <f t="shared" si="0"/>
        <v>Zuschuss Donatelli</v>
      </c>
      <c r="D14" s="9" t="str">
        <f t="shared" si="1"/>
        <v>Zuschuss Donatelli</v>
      </c>
      <c r="E14" s="9" t="str">
        <f t="shared" si="2"/>
        <v>Yes</v>
      </c>
    </row>
    <row r="15" spans="1:5" x14ac:dyDescent="0.25">
      <c r="A15" s="9" t="s">
        <v>162</v>
      </c>
      <c r="B15" s="9" t="s">
        <v>163</v>
      </c>
      <c r="C15" s="9" t="str">
        <f t="shared" si="0"/>
        <v>Ken Black</v>
      </c>
      <c r="D15" s="9" t="str">
        <f t="shared" si="1"/>
        <v>Ken Black</v>
      </c>
      <c r="E15" s="9" t="str">
        <f t="shared" si="2"/>
        <v>Yes</v>
      </c>
    </row>
    <row r="16" spans="1:5" x14ac:dyDescent="0.25">
      <c r="A16" s="9" t="s">
        <v>164</v>
      </c>
      <c r="B16" s="9" t="s">
        <v>165</v>
      </c>
      <c r="C16" s="9" t="str">
        <f t="shared" si="0"/>
        <v>Sandra Flanagan</v>
      </c>
      <c r="D16" s="9" t="str">
        <f t="shared" si="1"/>
        <v>Sandra Flanagan</v>
      </c>
      <c r="E16" s="9" t="str">
        <f t="shared" si="2"/>
        <v>Yes</v>
      </c>
    </row>
    <row r="18" spans="1:1" x14ac:dyDescent="0.25">
      <c r="A18" s="12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  <row r="24" spans="1:1" x14ac:dyDescent="0.25">
      <c r="A24" s="6"/>
    </row>
    <row r="25" spans="1:1" x14ac:dyDescent="0.25">
      <c r="A25" s="6"/>
    </row>
    <row r="26" spans="1:1" x14ac:dyDescent="0.25">
      <c r="A26" s="6"/>
    </row>
    <row r="27" spans="1:1" x14ac:dyDescent="0.25">
      <c r="A27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"/>
  <sheetViews>
    <sheetView topLeftCell="A10" zoomScaleNormal="100" workbookViewId="0">
      <selection activeCell="A28" sqref="A28:B39"/>
    </sheetView>
  </sheetViews>
  <sheetFormatPr defaultColWidth="8.7109375" defaultRowHeight="15" x14ac:dyDescent="0.25"/>
  <cols>
    <col min="1" max="2" width="26" customWidth="1"/>
    <col min="3" max="3" width="20" customWidth="1"/>
    <col min="4" max="4" width="34" customWidth="1"/>
  </cols>
  <sheetData>
    <row r="1" spans="1:3" ht="18" x14ac:dyDescent="0.25">
      <c r="A1" s="5" t="s">
        <v>166</v>
      </c>
    </row>
    <row r="2" spans="1:3" x14ac:dyDescent="0.25">
      <c r="A2" s="6" t="s">
        <v>167</v>
      </c>
    </row>
    <row r="4" spans="1:3" x14ac:dyDescent="0.25">
      <c r="A4" s="7" t="s">
        <v>168</v>
      </c>
    </row>
    <row r="5" spans="1:3" ht="30" x14ac:dyDescent="0.25">
      <c r="A5" s="8" t="s">
        <v>15</v>
      </c>
      <c r="B5" s="8" t="s">
        <v>169</v>
      </c>
      <c r="C5" s="8" t="s">
        <v>170</v>
      </c>
    </row>
    <row r="6" spans="1:3" x14ac:dyDescent="0.25">
      <c r="A6" s="9" t="s">
        <v>19</v>
      </c>
      <c r="B6" s="9" t="s">
        <v>92</v>
      </c>
      <c r="C6" s="9" t="str">
        <f t="shared" ref="C6:C15" si="0">IF(ISNUMBER(SEARCH("Office Supplies",B6)),"Match","")</f>
        <v/>
      </c>
    </row>
    <row r="7" spans="1:3" x14ac:dyDescent="0.25">
      <c r="A7" s="9" t="s">
        <v>21</v>
      </c>
      <c r="B7" s="9" t="s">
        <v>92</v>
      </c>
      <c r="C7" s="9" t="str">
        <f t="shared" si="0"/>
        <v/>
      </c>
    </row>
    <row r="8" spans="1:3" x14ac:dyDescent="0.25">
      <c r="A8" s="9" t="s">
        <v>22</v>
      </c>
      <c r="B8" s="9" t="s">
        <v>95</v>
      </c>
      <c r="C8" s="9" t="str">
        <f t="shared" si="0"/>
        <v>Match</v>
      </c>
    </row>
    <row r="9" spans="1:3" x14ac:dyDescent="0.25">
      <c r="A9" s="9" t="s">
        <v>24</v>
      </c>
      <c r="B9" s="9" t="s">
        <v>92</v>
      </c>
      <c r="C9" s="9" t="str">
        <f t="shared" si="0"/>
        <v/>
      </c>
    </row>
    <row r="10" spans="1:3" x14ac:dyDescent="0.25">
      <c r="A10" s="9" t="s">
        <v>25</v>
      </c>
      <c r="B10" s="9" t="s">
        <v>95</v>
      </c>
      <c r="C10" s="9" t="str">
        <f t="shared" si="0"/>
        <v>Match</v>
      </c>
    </row>
    <row r="11" spans="1:3" x14ac:dyDescent="0.25">
      <c r="A11" s="9" t="s">
        <v>26</v>
      </c>
      <c r="B11" s="9" t="s">
        <v>92</v>
      </c>
      <c r="C11" s="9" t="str">
        <f t="shared" si="0"/>
        <v/>
      </c>
    </row>
    <row r="12" spans="1:3" x14ac:dyDescent="0.25">
      <c r="A12" s="9" t="s">
        <v>27</v>
      </c>
      <c r="B12" s="9" t="s">
        <v>95</v>
      </c>
      <c r="C12" s="9" t="str">
        <f t="shared" si="0"/>
        <v>Match</v>
      </c>
    </row>
    <row r="13" spans="1:3" x14ac:dyDescent="0.25">
      <c r="A13" s="9" t="s">
        <v>28</v>
      </c>
      <c r="B13" s="9" t="s">
        <v>101</v>
      </c>
      <c r="C13" s="9" t="str">
        <f t="shared" si="0"/>
        <v/>
      </c>
    </row>
    <row r="14" spans="1:3" x14ac:dyDescent="0.25">
      <c r="A14" s="9" t="s">
        <v>29</v>
      </c>
      <c r="B14" s="9" t="s">
        <v>95</v>
      </c>
      <c r="C14" s="9" t="str">
        <f t="shared" si="0"/>
        <v>Match</v>
      </c>
    </row>
    <row r="15" spans="1:3" x14ac:dyDescent="0.25">
      <c r="A15" s="9" t="s">
        <v>30</v>
      </c>
      <c r="B15" s="9" t="s">
        <v>95</v>
      </c>
      <c r="C15" s="9" t="str">
        <f t="shared" si="0"/>
        <v>Match</v>
      </c>
    </row>
    <row r="17" spans="1:4" x14ac:dyDescent="0.25">
      <c r="A17" s="7" t="s">
        <v>171</v>
      </c>
    </row>
    <row r="18" spans="1:4" ht="27.75" customHeight="1" x14ac:dyDescent="0.25">
      <c r="A18" s="8" t="s">
        <v>172</v>
      </c>
      <c r="B18" s="8" t="s">
        <v>173</v>
      </c>
      <c r="C18" s="8" t="s">
        <v>174</v>
      </c>
      <c r="D18" s="8" t="s">
        <v>175</v>
      </c>
    </row>
    <row r="19" spans="1:4" x14ac:dyDescent="0.25">
      <c r="A19" s="9" t="s">
        <v>92</v>
      </c>
      <c r="B19" s="9" t="str">
        <f t="shared" ref="B19:B26" si="1">SUBSTITUTE(A19,"Office Supplies","Office Prod.")</f>
        <v>Furniture</v>
      </c>
      <c r="C19" s="9" t="s">
        <v>176</v>
      </c>
      <c r="D19" s="9" t="str">
        <f t="shared" ref="D19:D26" si="2">IF(LEFT(C19,4)="OFF-",SUBSTITUTE(C19,"OFF-","SUPPLY-"),C19)</f>
        <v>FUR-2000</v>
      </c>
    </row>
    <row r="20" spans="1:4" x14ac:dyDescent="0.25">
      <c r="A20" s="9" t="s">
        <v>92</v>
      </c>
      <c r="B20" s="9" t="str">
        <f t="shared" si="1"/>
        <v>Furniture</v>
      </c>
      <c r="C20" s="9" t="s">
        <v>177</v>
      </c>
      <c r="D20" s="9" t="str">
        <f t="shared" si="2"/>
        <v>FUR-2001</v>
      </c>
    </row>
    <row r="21" spans="1:4" x14ac:dyDescent="0.25">
      <c r="A21" s="9" t="s">
        <v>95</v>
      </c>
      <c r="B21" s="9" t="str">
        <f t="shared" si="1"/>
        <v>Office Prod.</v>
      </c>
      <c r="C21" s="9" t="s">
        <v>178</v>
      </c>
      <c r="D21" s="9" t="str">
        <f t="shared" si="2"/>
        <v>SUPPLY-OF-2002</v>
      </c>
    </row>
    <row r="22" spans="1:4" x14ac:dyDescent="0.25">
      <c r="A22" s="9" t="s">
        <v>92</v>
      </c>
      <c r="B22" s="9" t="str">
        <f t="shared" si="1"/>
        <v>Furniture</v>
      </c>
      <c r="C22" s="9" t="s">
        <v>179</v>
      </c>
      <c r="D22" s="9" t="str">
        <f t="shared" si="2"/>
        <v>FUR-2003</v>
      </c>
    </row>
    <row r="23" spans="1:4" x14ac:dyDescent="0.25">
      <c r="A23" s="9" t="s">
        <v>95</v>
      </c>
      <c r="B23" s="9" t="str">
        <f t="shared" si="1"/>
        <v>Office Prod.</v>
      </c>
      <c r="C23" s="9" t="s">
        <v>180</v>
      </c>
      <c r="D23" s="9" t="str">
        <f t="shared" si="2"/>
        <v>SUPPLY-OF-2004</v>
      </c>
    </row>
    <row r="24" spans="1:4" x14ac:dyDescent="0.25">
      <c r="A24" s="9" t="s">
        <v>92</v>
      </c>
      <c r="B24" s="9" t="str">
        <f t="shared" si="1"/>
        <v>Furniture</v>
      </c>
      <c r="C24" s="9" t="s">
        <v>181</v>
      </c>
      <c r="D24" s="9" t="str">
        <f t="shared" si="2"/>
        <v>FUR-2005</v>
      </c>
    </row>
    <row r="25" spans="1:4" x14ac:dyDescent="0.25">
      <c r="A25" s="9" t="s">
        <v>95</v>
      </c>
      <c r="B25" s="9" t="str">
        <f t="shared" si="1"/>
        <v>Office Prod.</v>
      </c>
      <c r="C25" s="9" t="s">
        <v>182</v>
      </c>
      <c r="D25" s="9" t="str">
        <f t="shared" si="2"/>
        <v>SUPPLY-OF-2006</v>
      </c>
    </row>
    <row r="26" spans="1:4" x14ac:dyDescent="0.25">
      <c r="A26" s="9" t="s">
        <v>101</v>
      </c>
      <c r="B26" s="9" t="str">
        <f t="shared" si="1"/>
        <v>Technology</v>
      </c>
      <c r="C26" s="9" t="s">
        <v>183</v>
      </c>
      <c r="D26" s="9" t="str">
        <f t="shared" si="2"/>
        <v>TEC-2007</v>
      </c>
    </row>
    <row r="28" spans="1:4" x14ac:dyDescent="0.25">
      <c r="A28" s="12"/>
    </row>
    <row r="29" spans="1:4" x14ac:dyDescent="0.25">
      <c r="A29" s="6"/>
    </row>
    <row r="30" spans="1:4" x14ac:dyDescent="0.25">
      <c r="A30" s="6"/>
    </row>
    <row r="31" spans="1:4" x14ac:dyDescent="0.25">
      <c r="A31" s="6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1. Remove Dup &amp; Errors</vt:lpstr>
      <vt:lpstr>2. Cleaning Formulas</vt:lpstr>
      <vt:lpstr>3. SEARCH vs FIND</vt:lpstr>
      <vt:lpstr>4. Go To Special</vt:lpstr>
      <vt:lpstr>5. Text to Columns</vt:lpstr>
      <vt:lpstr>6. CONCATENATE &amp; &amp;</vt:lpstr>
      <vt:lpstr>7. Find &amp; Replace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2026-09-24T02:48:02Z</dcterms:created>
  <dcterms:modified xsi:type="dcterms:W3CDTF">2026-10-02T06:39:59Z</dcterms:modified>
  <dc:language>en-US</dc:language>
</cp:coreProperties>
</file>