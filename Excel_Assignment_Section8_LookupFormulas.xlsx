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7B6BFFC1-BDAF-41EC-BFEE-D05F533E7696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Cover" sheetId="1" r:id="rId1"/>
    <sheet name="1. Basics of VLOOKUP" sheetId="2" r:id="rId2"/>
    <sheet name="2. More about VLOOKUP" sheetId="3" r:id="rId3"/>
    <sheet name="3. VLOOKUP vs HLOOKUP" sheetId="4" r:id="rId4"/>
  </sheets>
  <definedNames>
    <definedName name="ProductTable">'1. Basics of VLOOKUP'!$A$6:$D$21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4" l="1"/>
  <c r="B14" i="4"/>
  <c r="C33" i="3"/>
  <c r="B33" i="3"/>
  <c r="C32" i="3"/>
  <c r="B32" i="3"/>
  <c r="C31" i="3"/>
  <c r="B31" i="3"/>
  <c r="B27" i="3"/>
  <c r="B26" i="3"/>
  <c r="C22" i="3"/>
  <c r="B22" i="3"/>
  <c r="C21" i="3"/>
  <c r="B21" i="3"/>
  <c r="B17" i="3"/>
  <c r="B16" i="3"/>
  <c r="B15" i="3"/>
  <c r="B14" i="3"/>
  <c r="B13" i="3"/>
  <c r="B38" i="2"/>
  <c r="B37" i="2"/>
  <c r="B36" i="2"/>
  <c r="C32" i="2"/>
  <c r="B32" i="2"/>
  <c r="C31" i="2"/>
  <c r="B31" i="2"/>
  <c r="C30" i="2"/>
  <c r="B30" i="2"/>
  <c r="C29" i="2"/>
  <c r="B29" i="2"/>
  <c r="B25" i="2"/>
</calcChain>
</file>

<file path=xl/sharedStrings.xml><?xml version="1.0" encoding="utf-8"?>
<sst xmlns="http://schemas.openxmlformats.org/spreadsheetml/2006/main" count="179" uniqueCount="117">
  <si>
    <t>Excel Practical Assignment — Section 8: Everything about LOOKUP Formulas</t>
  </si>
  <si>
    <t>Dataset used: Superstore Sales (Orders sheet) — Product ID, Name, Category, and a derived Unit Price</t>
  </si>
  <si>
    <t>Sheets in this workbook:</t>
  </si>
  <si>
    <t>1. Basics of VLOOKUP -&gt; Product dataset, exact-match VLOOKUP, multiple lookup values, IFERROR</t>
  </si>
  <si>
    <t xml:space="preserve">   error handling, and the full VLOOKUP syntax explained</t>
  </si>
  <si>
    <t>2. More about VLOOKUP -&gt; Approximate-match (TRUE) tiering, exact vs approximate comparison, a</t>
  </si>
  <si>
    <t xml:space="preserve">   named range ("ProductTable"), and VLOOKUP nested inside ROUND/IF</t>
  </si>
  <si>
    <t>3. VLOOKUP vs HLOOKUP -&gt; the same dataset laid out both vertically and horizontally, one VLOOKUP</t>
  </si>
  <si>
    <t xml:space="preserve">   and one HLOOKUP against it, a syntax comparison table, and guidance on when to use which</t>
  </si>
  <si>
    <t>Section 8.1 — Basics of VLOOKUP</t>
  </si>
  <si>
    <t>Tasks 1-5: Product dataset, Basic VLOOKUP, Try different lookup values, IFERROR handling, Explain syntax</t>
  </si>
  <si>
    <t>Task 1: Product Information Dataset</t>
  </si>
  <si>
    <t>Product ID</t>
  </si>
  <si>
    <t>Product Name</t>
  </si>
  <si>
    <t>Category</t>
  </si>
  <si>
    <t>Unit Price</t>
  </si>
  <si>
    <t>FUR-BO-10001798</t>
  </si>
  <si>
    <t>Bush Somerset Collection Bookc</t>
  </si>
  <si>
    <t>Furniture</t>
  </si>
  <si>
    <t>FUR-CH-10000454</t>
  </si>
  <si>
    <t xml:space="preserve">Hon Deluxe Fabric Upholstered </t>
  </si>
  <si>
    <t>OFF-LA-10000240</t>
  </si>
  <si>
    <t>Self-Adhesive Address Labels f</t>
  </si>
  <si>
    <t>Office Supplies</t>
  </si>
  <si>
    <t>FUR-TA-10000577</t>
  </si>
  <si>
    <t>Bretford CR4500 Series Slim Re</t>
  </si>
  <si>
    <t>OFF-ST-10000760</t>
  </si>
  <si>
    <t>Eldon Fold 'N Roll Cart System</t>
  </si>
  <si>
    <t>FUR-FU-10001487</t>
  </si>
  <si>
    <t>Eldon Expressions Wood and Pla</t>
  </si>
  <si>
    <t>OFF-AR-10002833</t>
  </si>
  <si>
    <t>Newell 322</t>
  </si>
  <si>
    <t>TEC-PH-10002275</t>
  </si>
  <si>
    <t>Mitel 5320 IP Phone VoIP phone</t>
  </si>
  <si>
    <t>Technology</t>
  </si>
  <si>
    <t>OFF-BI-10003910</t>
  </si>
  <si>
    <t>DXL Angle-View Binders with Lo</t>
  </si>
  <si>
    <t>OFF-AP-10002892</t>
  </si>
  <si>
    <t>Belkin F5C206VTEL 6 Outlet Sur</t>
  </si>
  <si>
    <t>FUR-TA-10001539</t>
  </si>
  <si>
    <t>Chromcraft Rectangular Confere</t>
  </si>
  <si>
    <t>TEC-PH-10002033</t>
  </si>
  <si>
    <t>Konftel 250 Conference phone -</t>
  </si>
  <si>
    <t>OFF-PA-10002365</t>
  </si>
  <si>
    <t>Xerox 1967</t>
  </si>
  <si>
    <t>OFF-BI-10003656</t>
  </si>
  <si>
    <t>Fellowes PB200 Plastic Comb Bi</t>
  </si>
  <si>
    <t>OFF-AP-10002311</t>
  </si>
  <si>
    <t xml:space="preserve">Holmes Replacement Filter for </t>
  </si>
  <si>
    <t>OFF-BI-10000756</t>
  </si>
  <si>
    <t>Storex DuraTech Recycled Plast</t>
  </si>
  <si>
    <t>Task 2: Basic VLOOKUP — find the price for one Product ID</t>
  </si>
  <si>
    <t>Product ID to look up:</t>
  </si>
  <si>
    <t>VLOOKUP result (Unit Price):</t>
  </si>
  <si>
    <t>Task 3: Experiment with different lookup values</t>
  </si>
  <si>
    <t>Product ID (various)</t>
  </si>
  <si>
    <t>VLOOKUP -&gt; Product Name</t>
  </si>
  <si>
    <t>VLOOKUP -&gt; Unit Price</t>
  </si>
  <si>
    <t>Task 4: Handle errors — one Product ID below does not exist in the table</t>
  </si>
  <si>
    <t>VLOOKUP + IFERROR -&gt; Product Name</t>
  </si>
  <si>
    <t>FAKE-ID-00000</t>
  </si>
  <si>
    <t>Section 8.2 — More about VLOOKUP</t>
  </si>
  <si>
    <t>Tasks 1-5: Approximate match, Exact vs approximate comparison, Named ranges, VLOOKUP + other functions, When to use which</t>
  </si>
  <si>
    <t>Task 1: Approximate-match (TRUE) lookup table — Sales Tier thresholds (MUST be sorted ascending)</t>
  </si>
  <si>
    <t>Sales Threshold ($)</t>
  </si>
  <si>
    <t>Tier</t>
  </si>
  <si>
    <t>Bronze</t>
  </si>
  <si>
    <t>Silver</t>
  </si>
  <si>
    <t>Gold</t>
  </si>
  <si>
    <t>Platinum</t>
  </si>
  <si>
    <t>Sample sales values looked up with APPROXIMATE match (TRUE)</t>
  </si>
  <si>
    <t>Sales Value</t>
  </si>
  <si>
    <t>VLOOKUP(...,TRUE) -&gt; Tier</t>
  </si>
  <si>
    <t>Task 2: Exact (FALSE) vs Approximate (TRUE) match — same lookup value, both modes</t>
  </si>
  <si>
    <t>Sales Value (not an exact threshold)</t>
  </si>
  <si>
    <t>Exact Match (FALSE)</t>
  </si>
  <si>
    <t>Approximate Match (TRUE)</t>
  </si>
  <si>
    <t>Task 3: Named range — "ProductTable" refers to Sheet 1's product table for cleaner formulas</t>
  </si>
  <si>
    <t>VLOOKUP using named range
=VLOOKUP(id,ProductTable,2,FALSE)</t>
  </si>
  <si>
    <t>Task 4: Combine VLOOKUP with other functions — round the price and flag high-value items</t>
  </si>
  <si>
    <t>ROUND(VLOOKUP price,0)</t>
  </si>
  <si>
    <t>IF + VLOOKUP: "Premium" if price &gt; $200</t>
  </si>
  <si>
    <t>Section 8.3 — VLOOKUP vs. HLOOKUP</t>
  </si>
  <si>
    <t>Tasks 1-5: Dataset for both, VLOOKUP (vertical), HLOOKUP (horizontal), Syntax comparison, When to use which</t>
  </si>
  <si>
    <t>Task 1 &amp; 2: Vertical dataset (rows = products) — used with VLOOKUP</t>
  </si>
  <si>
    <t>Bush Somerset Collection Boo</t>
  </si>
  <si>
    <t>Hon Deluxe Fabric Upholstere</t>
  </si>
  <si>
    <t>Self-Adhesive Address Labels</t>
  </si>
  <si>
    <t xml:space="preserve">Bretford CR4500 Series Slim </t>
  </si>
  <si>
    <t>Eldon Fold 'N Roll Cart Syst</t>
  </si>
  <si>
    <t>Eldon Expressions Wood and P</t>
  </si>
  <si>
    <t>Product ID to look up (VLOOKUP):</t>
  </si>
  <si>
    <t>VLOOKUP -&gt; Product Name:</t>
  </si>
  <si>
    <t>Task 1 &amp; 3: The SAME data transposed into a horizontal layout — used with HLOOKUP</t>
  </si>
  <si>
    <t>Bush Somerset Collection</t>
  </si>
  <si>
    <t>Hon Deluxe Fabric Uphols</t>
  </si>
  <si>
    <t>Self-Adhesive Address La</t>
  </si>
  <si>
    <t>Bretford CR4500 Series S</t>
  </si>
  <si>
    <t xml:space="preserve">Eldon Fold 'N Roll Cart </t>
  </si>
  <si>
    <t>Eldon Expressions Wood a</t>
  </si>
  <si>
    <t>Product ID to look up (HLOOKUP):</t>
  </si>
  <si>
    <t>HLOOKUP -&gt; Product Name:</t>
  </si>
  <si>
    <t>Task 4: Syntax comparison</t>
  </si>
  <si>
    <t>VLOOKUP</t>
  </si>
  <si>
    <t>HLOOKUP</t>
  </si>
  <si>
    <t>Searches in</t>
  </si>
  <si>
    <t>The FIRST COLUMN of the table (searches DOWN)</t>
  </si>
  <si>
    <t>The FIRST ROW of the table (searches ACROSS)</t>
  </si>
  <si>
    <t>Returns from</t>
  </si>
  <si>
    <t>A specified ROW-relative column, N rows down</t>
  </si>
  <si>
    <t>A specified COLUMN-relative row, N columns across</t>
  </si>
  <si>
    <t>Formula shape</t>
  </si>
  <si>
    <t>VLOOKUP(id, A5:D11, 2, FALSE)</t>
  </si>
  <si>
    <t>HLOOKUP(id, B15:G18, 2, FALSE)</t>
  </si>
  <si>
    <t>Best fit for</t>
  </si>
  <si>
    <t>Data organised in COLUMNS (field per column,
one record per row) — the far more common layout</t>
  </si>
  <si>
    <t>Data organised in ROWS (field per row,
one record per column) — e.g. a transposed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</si>
</sst>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  <font>
      <b/>
      <sz val="10.5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3" borderId="1" xfId="0" applyFont="1" applyFill="1" applyBorder="1"/>
    <xf numFmtId="164" fontId="3" fillId="4" borderId="1" xfId="0" applyNumberFormat="1" applyFont="1" applyFill="1" applyBorder="1"/>
    <xf numFmtId="0" fontId="9" fillId="0" borderId="0" xfId="0" applyFont="1"/>
    <xf numFmtId="165" fontId="4" fillId="0" borderId="1" xfId="0" applyNumberFormat="1" applyFont="1" applyBorder="1"/>
    <xf numFmtId="0" fontId="3" fillId="4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tabSelected="1" zoomScaleNormal="100" workbookViewId="0">
      <selection activeCell="B12" sqref="B12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opLeftCell="A28" zoomScaleNormal="100" workbookViewId="0">
      <selection activeCell="F48" sqref="F48"/>
    </sheetView>
  </sheetViews>
  <sheetFormatPr defaultColWidth="8.7109375" defaultRowHeight="15" x14ac:dyDescent="0.25"/>
  <cols>
    <col min="1" max="1" width="20" customWidth="1"/>
    <col min="2" max="2" width="32" customWidth="1"/>
    <col min="3" max="3" width="16" customWidth="1"/>
    <col min="4" max="4" width="12" customWidth="1"/>
  </cols>
  <sheetData>
    <row r="1" spans="1:4" ht="18" x14ac:dyDescent="0.25">
      <c r="A1" s="5" t="s">
        <v>9</v>
      </c>
    </row>
    <row r="2" spans="1:4" x14ac:dyDescent="0.25">
      <c r="A2" s="6" t="s">
        <v>10</v>
      </c>
    </row>
    <row r="4" spans="1:4" x14ac:dyDescent="0.25">
      <c r="A4" s="7" t="s">
        <v>11</v>
      </c>
    </row>
    <row r="5" spans="1:4" x14ac:dyDescent="0.25">
      <c r="A5" s="8" t="s">
        <v>12</v>
      </c>
      <c r="B5" s="8" t="s">
        <v>13</v>
      </c>
      <c r="C5" s="8" t="s">
        <v>14</v>
      </c>
      <c r="D5" s="8" t="s">
        <v>15</v>
      </c>
    </row>
    <row r="6" spans="1:4" x14ac:dyDescent="0.25">
      <c r="A6" s="9" t="s">
        <v>16</v>
      </c>
      <c r="B6" s="9" t="s">
        <v>17</v>
      </c>
      <c r="C6" s="9" t="s">
        <v>18</v>
      </c>
      <c r="D6" s="10">
        <v>130.97999999999999</v>
      </c>
    </row>
    <row r="7" spans="1:4" x14ac:dyDescent="0.25">
      <c r="A7" s="9" t="s">
        <v>19</v>
      </c>
      <c r="B7" s="9" t="s">
        <v>20</v>
      </c>
      <c r="C7" s="9" t="s">
        <v>18</v>
      </c>
      <c r="D7" s="10">
        <v>243.98</v>
      </c>
    </row>
    <row r="8" spans="1:4" x14ac:dyDescent="0.25">
      <c r="A8" s="9" t="s">
        <v>21</v>
      </c>
      <c r="B8" s="9" t="s">
        <v>22</v>
      </c>
      <c r="C8" s="9" t="s">
        <v>23</v>
      </c>
      <c r="D8" s="10">
        <v>7.31</v>
      </c>
    </row>
    <row r="9" spans="1:4" x14ac:dyDescent="0.25">
      <c r="A9" s="9" t="s">
        <v>24</v>
      </c>
      <c r="B9" s="9" t="s">
        <v>25</v>
      </c>
      <c r="C9" s="9" t="s">
        <v>18</v>
      </c>
      <c r="D9" s="10">
        <v>191.52</v>
      </c>
    </row>
    <row r="10" spans="1:4" x14ac:dyDescent="0.25">
      <c r="A10" s="9" t="s">
        <v>26</v>
      </c>
      <c r="B10" s="9" t="s">
        <v>27</v>
      </c>
      <c r="C10" s="9" t="s">
        <v>23</v>
      </c>
      <c r="D10" s="10">
        <v>11.18</v>
      </c>
    </row>
    <row r="11" spans="1:4" x14ac:dyDescent="0.25">
      <c r="A11" s="9" t="s">
        <v>28</v>
      </c>
      <c r="B11" s="9" t="s">
        <v>29</v>
      </c>
      <c r="C11" s="9" t="s">
        <v>18</v>
      </c>
      <c r="D11" s="10">
        <v>6.98</v>
      </c>
    </row>
    <row r="12" spans="1:4" x14ac:dyDescent="0.25">
      <c r="A12" s="9" t="s">
        <v>30</v>
      </c>
      <c r="B12" s="9" t="s">
        <v>31</v>
      </c>
      <c r="C12" s="9" t="s">
        <v>23</v>
      </c>
      <c r="D12" s="10">
        <v>1.82</v>
      </c>
    </row>
    <row r="13" spans="1:4" x14ac:dyDescent="0.25">
      <c r="A13" s="9" t="s">
        <v>32</v>
      </c>
      <c r="B13" s="9" t="s">
        <v>33</v>
      </c>
      <c r="C13" s="9" t="s">
        <v>34</v>
      </c>
      <c r="D13" s="10">
        <v>151.19</v>
      </c>
    </row>
    <row r="14" spans="1:4" x14ac:dyDescent="0.25">
      <c r="A14" s="9" t="s">
        <v>35</v>
      </c>
      <c r="B14" s="9" t="s">
        <v>36</v>
      </c>
      <c r="C14" s="9" t="s">
        <v>23</v>
      </c>
      <c r="D14" s="10">
        <v>6.17</v>
      </c>
    </row>
    <row r="15" spans="1:4" x14ac:dyDescent="0.25">
      <c r="A15" s="9" t="s">
        <v>37</v>
      </c>
      <c r="B15" s="9" t="s">
        <v>38</v>
      </c>
      <c r="C15" s="9" t="s">
        <v>23</v>
      </c>
      <c r="D15" s="10">
        <v>22.98</v>
      </c>
    </row>
    <row r="16" spans="1:4" x14ac:dyDescent="0.25">
      <c r="A16" s="9" t="s">
        <v>39</v>
      </c>
      <c r="B16" s="9" t="s">
        <v>40</v>
      </c>
      <c r="C16" s="9" t="s">
        <v>18</v>
      </c>
      <c r="D16" s="10">
        <v>189.58</v>
      </c>
    </row>
    <row r="17" spans="1:4" x14ac:dyDescent="0.25">
      <c r="A17" s="9" t="s">
        <v>41</v>
      </c>
      <c r="B17" s="9" t="s">
        <v>42</v>
      </c>
      <c r="C17" s="9" t="s">
        <v>34</v>
      </c>
      <c r="D17" s="10">
        <v>227.86</v>
      </c>
    </row>
    <row r="18" spans="1:4" x14ac:dyDescent="0.25">
      <c r="A18" s="9" t="s">
        <v>43</v>
      </c>
      <c r="B18" s="9" t="s">
        <v>44</v>
      </c>
      <c r="C18" s="9" t="s">
        <v>23</v>
      </c>
      <c r="D18" s="10">
        <v>5.18</v>
      </c>
    </row>
    <row r="19" spans="1:4" x14ac:dyDescent="0.25">
      <c r="A19" s="9" t="s">
        <v>45</v>
      </c>
      <c r="B19" s="9" t="s">
        <v>46</v>
      </c>
      <c r="C19" s="9" t="s">
        <v>23</v>
      </c>
      <c r="D19" s="10">
        <v>135.99</v>
      </c>
    </row>
    <row r="20" spans="1:4" x14ac:dyDescent="0.25">
      <c r="A20" s="9" t="s">
        <v>47</v>
      </c>
      <c r="B20" s="9" t="s">
        <v>48</v>
      </c>
      <c r="C20" s="9" t="s">
        <v>23</v>
      </c>
      <c r="D20" s="10">
        <v>13.76</v>
      </c>
    </row>
    <row r="21" spans="1:4" x14ac:dyDescent="0.25">
      <c r="A21" s="9" t="s">
        <v>49</v>
      </c>
      <c r="B21" s="9" t="s">
        <v>50</v>
      </c>
      <c r="C21" s="9" t="s">
        <v>23</v>
      </c>
      <c r="D21" s="10">
        <v>0.85</v>
      </c>
    </row>
    <row r="23" spans="1:4" x14ac:dyDescent="0.25">
      <c r="A23" s="7" t="s">
        <v>51</v>
      </c>
    </row>
    <row r="24" spans="1:4" x14ac:dyDescent="0.25">
      <c r="A24" s="9" t="s">
        <v>52</v>
      </c>
      <c r="B24" s="11" t="s">
        <v>24</v>
      </c>
    </row>
    <row r="25" spans="1:4" x14ac:dyDescent="0.25">
      <c r="A25" s="9" t="s">
        <v>53</v>
      </c>
      <c r="B25" s="12">
        <f>VLOOKUP(B24,$A$6:$D$21,4,FALSE())</f>
        <v>191.52</v>
      </c>
    </row>
    <row r="27" spans="1:4" x14ac:dyDescent="0.25">
      <c r="A27" s="7" t="s">
        <v>54</v>
      </c>
    </row>
    <row r="28" spans="1:4" ht="30" x14ac:dyDescent="0.25">
      <c r="A28" s="8" t="s">
        <v>55</v>
      </c>
      <c r="B28" s="8" t="s">
        <v>56</v>
      </c>
      <c r="C28" s="8" t="s">
        <v>57</v>
      </c>
    </row>
    <row r="29" spans="1:4" x14ac:dyDescent="0.25">
      <c r="A29" s="9" t="s">
        <v>16</v>
      </c>
      <c r="B29" s="9" t="str">
        <f>VLOOKUP(A29,$A$6:$D$21,2,FALSE())</f>
        <v>Bush Somerset Collection Bookc</v>
      </c>
      <c r="C29" s="10">
        <f>VLOOKUP(A29,$A$6:$D$21,4,FALSE())</f>
        <v>130.97999999999999</v>
      </c>
    </row>
    <row r="30" spans="1:4" x14ac:dyDescent="0.25">
      <c r="A30" s="9" t="s">
        <v>28</v>
      </c>
      <c r="B30" s="9" t="str">
        <f>VLOOKUP(A30,$A$6:$D$21,2,FALSE())</f>
        <v>Eldon Expressions Wood and Pla</v>
      </c>
      <c r="C30" s="10">
        <f>VLOOKUP(A30,$A$6:$D$21,4,FALSE())</f>
        <v>6.98</v>
      </c>
    </row>
    <row r="31" spans="1:4" x14ac:dyDescent="0.25">
      <c r="A31" s="9" t="s">
        <v>39</v>
      </c>
      <c r="B31" s="9" t="str">
        <f>VLOOKUP(A31,$A$6:$D$21,2,FALSE())</f>
        <v>Chromcraft Rectangular Confere</v>
      </c>
      <c r="C31" s="10">
        <f>VLOOKUP(A31,$A$6:$D$21,4,FALSE())</f>
        <v>189.58</v>
      </c>
    </row>
    <row r="32" spans="1:4" x14ac:dyDescent="0.25">
      <c r="A32" s="9" t="s">
        <v>45</v>
      </c>
      <c r="B32" s="9" t="str">
        <f>VLOOKUP(A32,$A$6:$D$21,2,FALSE())</f>
        <v>Fellowes PB200 Plastic Comb Bi</v>
      </c>
      <c r="C32" s="10">
        <f>VLOOKUP(A32,$A$6:$D$21,4,FALSE())</f>
        <v>135.99</v>
      </c>
    </row>
    <row r="34" spans="1:2" x14ac:dyDescent="0.25">
      <c r="A34" s="7" t="s">
        <v>58</v>
      </c>
    </row>
    <row r="35" spans="1:2" ht="30" x14ac:dyDescent="0.25">
      <c r="A35" s="8" t="s">
        <v>12</v>
      </c>
      <c r="B35" s="8" t="s">
        <v>59</v>
      </c>
    </row>
    <row r="36" spans="1:2" x14ac:dyDescent="0.25">
      <c r="A36" s="9" t="s">
        <v>21</v>
      </c>
      <c r="B36" s="9" t="str">
        <f>IFERROR(VLOOKUP(A36,$A$6:$D$21,2,FALSE()),"Product ID not found")</f>
        <v>Self-Adhesive Address Labels f</v>
      </c>
    </row>
    <row r="37" spans="1:2" x14ac:dyDescent="0.25">
      <c r="A37" s="9" t="s">
        <v>60</v>
      </c>
      <c r="B37" s="9" t="str">
        <f>IFERROR(VLOOKUP(A37,$A$6:$D$21,2,FALSE()),"Product ID not found")</f>
        <v>Product ID not found</v>
      </c>
    </row>
    <row r="38" spans="1:2" x14ac:dyDescent="0.25">
      <c r="A38" s="9" t="s">
        <v>32</v>
      </c>
      <c r="B38" s="9" t="str">
        <f>IFERROR(VLOOKUP(A38,$A$6:$D$21,2,FALSE()),"Product ID not found")</f>
        <v>Mitel 5320 IP Phone VoIP phone</v>
      </c>
    </row>
    <row r="40" spans="1:2" x14ac:dyDescent="0.25">
      <c r="A40" s="13"/>
    </row>
    <row r="41" spans="1:2" x14ac:dyDescent="0.25">
      <c r="A41" s="6"/>
    </row>
    <row r="42" spans="1:2" x14ac:dyDescent="0.25">
      <c r="A42" s="6"/>
    </row>
    <row r="43" spans="1:2" x14ac:dyDescent="0.25">
      <c r="A43" s="6"/>
    </row>
    <row r="44" spans="1:2" x14ac:dyDescent="0.25">
      <c r="A44" s="6"/>
    </row>
    <row r="45" spans="1:2" x14ac:dyDescent="0.25">
      <c r="A45" s="6"/>
    </row>
    <row r="46" spans="1:2" x14ac:dyDescent="0.25">
      <c r="A46" s="6"/>
    </row>
    <row r="47" spans="1:2" x14ac:dyDescent="0.25">
      <c r="A47" s="6"/>
    </row>
    <row r="48" spans="1:2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topLeftCell="A31" zoomScaleNormal="100" workbookViewId="0">
      <selection activeCell="A35" sqref="A35:C49"/>
    </sheetView>
  </sheetViews>
  <sheetFormatPr defaultColWidth="8.7109375" defaultRowHeight="15" x14ac:dyDescent="0.25"/>
  <cols>
    <col min="1" max="2" width="20" customWidth="1"/>
    <col min="3" max="3" width="30" customWidth="1"/>
  </cols>
  <sheetData>
    <row r="1" spans="1:2" ht="18" x14ac:dyDescent="0.25">
      <c r="A1" s="5" t="s">
        <v>61</v>
      </c>
    </row>
    <row r="2" spans="1:2" x14ac:dyDescent="0.25">
      <c r="A2" s="6" t="s">
        <v>62</v>
      </c>
    </row>
    <row r="4" spans="1:2" x14ac:dyDescent="0.25">
      <c r="A4" s="7" t="s">
        <v>63</v>
      </c>
    </row>
    <row r="5" spans="1:2" ht="30" x14ac:dyDescent="0.25">
      <c r="A5" s="8" t="s">
        <v>64</v>
      </c>
      <c r="B5" s="8" t="s">
        <v>65</v>
      </c>
    </row>
    <row r="6" spans="1:2" x14ac:dyDescent="0.25">
      <c r="A6" s="14">
        <v>0</v>
      </c>
      <c r="B6" s="9" t="s">
        <v>66</v>
      </c>
    </row>
    <row r="7" spans="1:2" x14ac:dyDescent="0.25">
      <c r="A7" s="14">
        <v>100</v>
      </c>
      <c r="B7" s="9" t="s">
        <v>67</v>
      </c>
    </row>
    <row r="8" spans="1:2" x14ac:dyDescent="0.25">
      <c r="A8" s="14">
        <v>500</v>
      </c>
      <c r="B8" s="9" t="s">
        <v>68</v>
      </c>
    </row>
    <row r="9" spans="1:2" x14ac:dyDescent="0.25">
      <c r="A9" s="14">
        <v>1000</v>
      </c>
      <c r="B9" s="9" t="s">
        <v>69</v>
      </c>
    </row>
    <row r="11" spans="1:2" x14ac:dyDescent="0.25">
      <c r="A11" s="4" t="s">
        <v>70</v>
      </c>
    </row>
    <row r="12" spans="1:2" ht="30" x14ac:dyDescent="0.25">
      <c r="A12" s="8" t="s">
        <v>71</v>
      </c>
      <c r="B12" s="8" t="s">
        <v>72</v>
      </c>
    </row>
    <row r="13" spans="1:2" x14ac:dyDescent="0.25">
      <c r="A13" s="10">
        <v>45</v>
      </c>
      <c r="B13" s="9" t="str">
        <f>VLOOKUP(A13,$A$6:$B$9,2,TRUE())</f>
        <v>Bronze</v>
      </c>
    </row>
    <row r="14" spans="1:2" x14ac:dyDescent="0.25">
      <c r="A14" s="10">
        <v>261.95999999999998</v>
      </c>
      <c r="B14" s="9" t="str">
        <f>VLOOKUP(A14,$A$6:$B$9,2,TRUE())</f>
        <v>Silver</v>
      </c>
    </row>
    <row r="15" spans="1:2" x14ac:dyDescent="0.25">
      <c r="A15" s="10">
        <v>731.94</v>
      </c>
      <c r="B15" s="9" t="str">
        <f>VLOOKUP(A15,$A$6:$B$9,2,TRUE())</f>
        <v>Gold</v>
      </c>
    </row>
    <row r="16" spans="1:2" x14ac:dyDescent="0.25">
      <c r="A16" s="10">
        <v>1706.18</v>
      </c>
      <c r="B16" s="9" t="str">
        <f>VLOOKUP(A16,$A$6:$B$9,2,TRUE())</f>
        <v>Platinum</v>
      </c>
    </row>
    <row r="17" spans="1:3" x14ac:dyDescent="0.25">
      <c r="A17" s="10">
        <v>15.55</v>
      </c>
      <c r="B17" s="9" t="str">
        <f>VLOOKUP(A17,$A$6:$B$9,2,TRUE())</f>
        <v>Bronze</v>
      </c>
    </row>
    <row r="19" spans="1:3" x14ac:dyDescent="0.25">
      <c r="A19" s="7" t="s">
        <v>73</v>
      </c>
    </row>
    <row r="20" spans="1:3" ht="45" x14ac:dyDescent="0.25">
      <c r="A20" s="8" t="s">
        <v>74</v>
      </c>
      <c r="B20" s="8" t="s">
        <v>75</v>
      </c>
      <c r="C20" s="8" t="s">
        <v>76</v>
      </c>
    </row>
    <row r="21" spans="1:3" x14ac:dyDescent="0.25">
      <c r="A21" s="14">
        <v>250</v>
      </c>
      <c r="B21" s="9" t="str">
        <f>IFERROR(VLOOKUP(A21,$A$6:$B$9,2,FALSE()),"#N/A - no exact threshold match")</f>
        <v>#N/A - no exact threshold match</v>
      </c>
      <c r="C21" s="9" t="str">
        <f>VLOOKUP(A21,$A$6:$B$9,2,TRUE())</f>
        <v>Silver</v>
      </c>
    </row>
    <row r="22" spans="1:3" x14ac:dyDescent="0.25">
      <c r="A22" s="14">
        <v>900</v>
      </c>
      <c r="B22" s="9" t="str">
        <f>IFERROR(VLOOKUP(A22,$A$6:$B$9,2,FALSE()),"#N/A - no exact threshold match")</f>
        <v>#N/A - no exact threshold match</v>
      </c>
      <c r="C22" s="9" t="str">
        <f>VLOOKUP(A22,$A$6:$B$9,2,TRUE())</f>
        <v>Gold</v>
      </c>
    </row>
    <row r="24" spans="1:3" x14ac:dyDescent="0.25">
      <c r="A24" s="7" t="s">
        <v>77</v>
      </c>
    </row>
    <row r="25" spans="1:3" ht="25.5" customHeight="1" x14ac:dyDescent="0.25">
      <c r="A25" s="8" t="s">
        <v>12</v>
      </c>
      <c r="B25" s="8" t="s">
        <v>78</v>
      </c>
    </row>
    <row r="26" spans="1:3" x14ac:dyDescent="0.25">
      <c r="A26" s="9" t="s">
        <v>19</v>
      </c>
      <c r="B26" s="9" t="str">
        <f>VLOOKUP(A26,ProductTable,2,FALSE())</f>
        <v xml:space="preserve">Hon Deluxe Fabric Upholstered </v>
      </c>
    </row>
    <row r="27" spans="1:3" x14ac:dyDescent="0.25">
      <c r="A27" s="9" t="s">
        <v>37</v>
      </c>
      <c r="B27" s="9" t="str">
        <f>VLOOKUP(A27,ProductTable,2,FALSE())</f>
        <v>Belkin F5C206VTEL 6 Outlet Sur</v>
      </c>
    </row>
    <row r="29" spans="1:3" x14ac:dyDescent="0.25">
      <c r="A29" s="7" t="s">
        <v>79</v>
      </c>
    </row>
    <row r="30" spans="1:3" ht="25.5" customHeight="1" x14ac:dyDescent="0.25">
      <c r="A30" s="8" t="s">
        <v>12</v>
      </c>
      <c r="B30" s="8" t="s">
        <v>80</v>
      </c>
      <c r="C30" s="8" t="s">
        <v>81</v>
      </c>
    </row>
    <row r="31" spans="1:3" x14ac:dyDescent="0.25">
      <c r="A31" s="9" t="s">
        <v>26</v>
      </c>
      <c r="B31" s="14">
        <f>ROUND(VLOOKUP(A31,ProductTable,4,FALSE()),0)</f>
        <v>11</v>
      </c>
      <c r="C31" s="9" t="str">
        <f>IF(VLOOKUP(A31,ProductTable,4,FALSE())&gt;200,"Premium","Standard")</f>
        <v>Standard</v>
      </c>
    </row>
    <row r="32" spans="1:3" x14ac:dyDescent="0.25">
      <c r="A32" s="9" t="s">
        <v>35</v>
      </c>
      <c r="B32" s="14">
        <f>ROUND(VLOOKUP(A32,ProductTable,4,FALSE()),0)</f>
        <v>6</v>
      </c>
      <c r="C32" s="9" t="str">
        <f>IF(VLOOKUP(A32,ProductTable,4,FALSE())&gt;200,"Premium","Standard")</f>
        <v>Standard</v>
      </c>
    </row>
    <row r="33" spans="1:3" x14ac:dyDescent="0.25">
      <c r="A33" s="9" t="s">
        <v>43</v>
      </c>
      <c r="B33" s="14">
        <f>ROUND(VLOOKUP(A33,ProductTable,4,FALSE()),0)</f>
        <v>5</v>
      </c>
      <c r="C33" s="9" t="str">
        <f>IF(VLOOKUP(A33,ProductTable,4,FALSE())&gt;200,"Premium","Standard")</f>
        <v>Standard</v>
      </c>
    </row>
    <row r="35" spans="1:3" x14ac:dyDescent="0.25">
      <c r="A35" s="13"/>
    </row>
    <row r="36" spans="1:3" x14ac:dyDescent="0.25">
      <c r="A36" s="6"/>
    </row>
    <row r="37" spans="1:3" x14ac:dyDescent="0.25">
      <c r="A37" s="6"/>
    </row>
    <row r="38" spans="1:3" x14ac:dyDescent="0.25">
      <c r="A38" s="6"/>
    </row>
    <row r="39" spans="1:3" x14ac:dyDescent="0.25">
      <c r="A39" s="6"/>
    </row>
    <row r="40" spans="1:3" x14ac:dyDescent="0.25">
      <c r="A40" s="6"/>
    </row>
    <row r="41" spans="1:3" x14ac:dyDescent="0.25">
      <c r="A41" s="6"/>
    </row>
    <row r="42" spans="1:3" x14ac:dyDescent="0.25">
      <c r="A42" s="6"/>
    </row>
    <row r="43" spans="1:3" x14ac:dyDescent="0.25">
      <c r="A43" s="6"/>
    </row>
    <row r="44" spans="1:3" x14ac:dyDescent="0.25">
      <c r="A44" s="6"/>
    </row>
    <row r="45" spans="1:3" x14ac:dyDescent="0.25">
      <c r="A45" s="6"/>
    </row>
    <row r="46" spans="1:3" x14ac:dyDescent="0.25">
      <c r="A46" s="6"/>
    </row>
    <row r="47" spans="1:3" x14ac:dyDescent="0.25">
      <c r="A47" s="6"/>
    </row>
    <row r="48" spans="1:3" x14ac:dyDescent="0.25">
      <c r="A4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zoomScaleNormal="100" workbookViewId="0">
      <selection activeCell="A25" sqref="A25"/>
    </sheetView>
  </sheetViews>
  <sheetFormatPr defaultColWidth="8.7109375" defaultRowHeight="15" x14ac:dyDescent="0.25"/>
  <cols>
    <col min="1" max="1" width="98.85546875" bestFit="1" customWidth="1"/>
    <col min="2" max="3" width="44" customWidth="1"/>
    <col min="4" max="4" width="24.7109375" bestFit="1" customWidth="1"/>
    <col min="5" max="5" width="24.85546875" bestFit="1" customWidth="1"/>
    <col min="6" max="6" width="22.42578125" bestFit="1" customWidth="1"/>
    <col min="7" max="7" width="25.7109375" bestFit="1" customWidth="1"/>
  </cols>
  <sheetData>
    <row r="1" spans="1:4" ht="18" x14ac:dyDescent="0.25">
      <c r="A1" s="5" t="s">
        <v>82</v>
      </c>
    </row>
    <row r="2" spans="1:4" x14ac:dyDescent="0.25">
      <c r="A2" s="6" t="s">
        <v>83</v>
      </c>
    </row>
    <row r="4" spans="1:4" x14ac:dyDescent="0.25">
      <c r="A4" s="7" t="s">
        <v>84</v>
      </c>
    </row>
    <row r="5" spans="1:4" x14ac:dyDescent="0.25">
      <c r="A5" s="8" t="s">
        <v>12</v>
      </c>
      <c r="B5" s="8" t="s">
        <v>13</v>
      </c>
      <c r="C5" s="8" t="s">
        <v>14</v>
      </c>
      <c r="D5" s="8" t="s">
        <v>15</v>
      </c>
    </row>
    <row r="6" spans="1:4" x14ac:dyDescent="0.25">
      <c r="A6" s="9" t="s">
        <v>16</v>
      </c>
      <c r="B6" s="9" t="s">
        <v>85</v>
      </c>
      <c r="C6" s="9" t="s">
        <v>18</v>
      </c>
      <c r="D6" s="10">
        <v>130.97999999999999</v>
      </c>
    </row>
    <row r="7" spans="1:4" x14ac:dyDescent="0.25">
      <c r="A7" s="9" t="s">
        <v>19</v>
      </c>
      <c r="B7" s="9" t="s">
        <v>86</v>
      </c>
      <c r="C7" s="9" t="s">
        <v>18</v>
      </c>
      <c r="D7" s="10">
        <v>243.98</v>
      </c>
    </row>
    <row r="8" spans="1:4" x14ac:dyDescent="0.25">
      <c r="A8" s="9" t="s">
        <v>21</v>
      </c>
      <c r="B8" s="9" t="s">
        <v>87</v>
      </c>
      <c r="C8" s="9" t="s">
        <v>23</v>
      </c>
      <c r="D8" s="10">
        <v>7.31</v>
      </c>
    </row>
    <row r="9" spans="1:4" x14ac:dyDescent="0.25">
      <c r="A9" s="9" t="s">
        <v>24</v>
      </c>
      <c r="B9" s="9" t="s">
        <v>88</v>
      </c>
      <c r="C9" s="9" t="s">
        <v>18</v>
      </c>
      <c r="D9" s="10">
        <v>191.52</v>
      </c>
    </row>
    <row r="10" spans="1:4" x14ac:dyDescent="0.25">
      <c r="A10" s="9" t="s">
        <v>26</v>
      </c>
      <c r="B10" s="9" t="s">
        <v>89</v>
      </c>
      <c r="C10" s="9" t="s">
        <v>23</v>
      </c>
      <c r="D10" s="10">
        <v>11.18</v>
      </c>
    </row>
    <row r="11" spans="1:4" x14ac:dyDescent="0.25">
      <c r="A11" s="9" t="s">
        <v>28</v>
      </c>
      <c r="B11" s="9" t="s">
        <v>90</v>
      </c>
      <c r="C11" s="9" t="s">
        <v>18</v>
      </c>
      <c r="D11" s="10">
        <v>6.98</v>
      </c>
    </row>
    <row r="13" spans="1:4" x14ac:dyDescent="0.25">
      <c r="A13" s="9" t="s">
        <v>91</v>
      </c>
      <c r="B13" s="11" t="s">
        <v>21</v>
      </c>
    </row>
    <row r="14" spans="1:4" x14ac:dyDescent="0.25">
      <c r="A14" s="9" t="s">
        <v>92</v>
      </c>
      <c r="B14" s="15" t="str">
        <f>VLOOKUP(B13,$A$6:$D$11,2,FALSE())</f>
        <v>Self-Adhesive Address Labels</v>
      </c>
    </row>
    <row r="16" spans="1:4" x14ac:dyDescent="0.25">
      <c r="A16" s="7" t="s">
        <v>93</v>
      </c>
    </row>
    <row r="17" spans="1:7" x14ac:dyDescent="0.25">
      <c r="A17" s="16" t="s">
        <v>12</v>
      </c>
      <c r="B17" s="9" t="s">
        <v>16</v>
      </c>
      <c r="C17" s="9" t="s">
        <v>19</v>
      </c>
      <c r="D17" s="9" t="s">
        <v>21</v>
      </c>
      <c r="E17" s="9" t="s">
        <v>24</v>
      </c>
      <c r="F17" s="9" t="s">
        <v>26</v>
      </c>
      <c r="G17" s="9" t="s">
        <v>28</v>
      </c>
    </row>
    <row r="18" spans="1:7" x14ac:dyDescent="0.25">
      <c r="A18" s="16" t="s">
        <v>13</v>
      </c>
      <c r="B18" s="9" t="s">
        <v>94</v>
      </c>
      <c r="C18" s="9" t="s">
        <v>95</v>
      </c>
      <c r="D18" s="9" t="s">
        <v>96</v>
      </c>
      <c r="E18" s="9" t="s">
        <v>97</v>
      </c>
      <c r="F18" s="9" t="s">
        <v>98</v>
      </c>
      <c r="G18" s="9" t="s">
        <v>99</v>
      </c>
    </row>
    <row r="19" spans="1:7" x14ac:dyDescent="0.25">
      <c r="A19" s="16" t="s">
        <v>14</v>
      </c>
      <c r="B19" s="9" t="s">
        <v>18</v>
      </c>
      <c r="C19" s="9" t="s">
        <v>18</v>
      </c>
      <c r="D19" s="9" t="s">
        <v>23</v>
      </c>
      <c r="E19" s="9" t="s">
        <v>18</v>
      </c>
      <c r="F19" s="9" t="s">
        <v>23</v>
      </c>
      <c r="G19" s="9" t="s">
        <v>18</v>
      </c>
    </row>
    <row r="20" spans="1:7" x14ac:dyDescent="0.25">
      <c r="A20" s="16" t="s">
        <v>15</v>
      </c>
      <c r="B20" s="10">
        <v>130.97999999999999</v>
      </c>
      <c r="C20" s="10">
        <v>243.98</v>
      </c>
      <c r="D20" s="10">
        <v>7.31</v>
      </c>
      <c r="E20" s="10">
        <v>191.52</v>
      </c>
      <c r="F20" s="10">
        <v>11.18</v>
      </c>
      <c r="G20" s="10">
        <v>6.98</v>
      </c>
    </row>
    <row r="22" spans="1:7" x14ac:dyDescent="0.25">
      <c r="A22" s="9" t="s">
        <v>100</v>
      </c>
      <c r="B22" s="11" t="s">
        <v>26</v>
      </c>
    </row>
    <row r="23" spans="1:7" x14ac:dyDescent="0.25">
      <c r="A23" s="9" t="s">
        <v>101</v>
      </c>
      <c r="B23" s="15" t="str">
        <f>HLOOKUP(B22,$B$17:$G$20,2,FALSE())</f>
        <v xml:space="preserve">Eldon Fold 'N Roll Cart </v>
      </c>
    </row>
    <row r="25" spans="1:7" x14ac:dyDescent="0.25">
      <c r="A25" s="7" t="s">
        <v>102</v>
      </c>
    </row>
    <row r="26" spans="1:7" x14ac:dyDescent="0.25">
      <c r="A26" s="8"/>
      <c r="B26" s="8" t="s">
        <v>103</v>
      </c>
      <c r="C26" s="8" t="s">
        <v>104</v>
      </c>
    </row>
    <row r="27" spans="1:7" ht="30" customHeight="1" x14ac:dyDescent="0.25">
      <c r="A27" s="17" t="s">
        <v>105</v>
      </c>
      <c r="B27" s="18" t="s">
        <v>106</v>
      </c>
      <c r="C27" s="18" t="s">
        <v>107</v>
      </c>
    </row>
    <row r="28" spans="1:7" ht="30" customHeight="1" x14ac:dyDescent="0.25">
      <c r="A28" s="17" t="s">
        <v>108</v>
      </c>
      <c r="B28" s="18" t="s">
        <v>109</v>
      </c>
      <c r="C28" s="18" t="s">
        <v>110</v>
      </c>
    </row>
    <row r="29" spans="1:7" ht="30" customHeight="1" x14ac:dyDescent="0.25">
      <c r="A29" s="17" t="s">
        <v>111</v>
      </c>
      <c r="B29" s="18" t="s">
        <v>112</v>
      </c>
      <c r="C29" s="18" t="s">
        <v>113</v>
      </c>
    </row>
    <row r="30" spans="1:7" ht="49.5" customHeight="1" x14ac:dyDescent="0.25">
      <c r="A30" s="17" t="s">
        <v>114</v>
      </c>
      <c r="B30" s="18" t="s">
        <v>115</v>
      </c>
      <c r="C30" s="18" t="s">
        <v>116</v>
      </c>
    </row>
    <row r="32" spans="1:7" x14ac:dyDescent="0.25">
      <c r="A32" s="13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1. Basics of VLOOKUP</vt:lpstr>
      <vt:lpstr>2. More about VLOOKUP</vt:lpstr>
      <vt:lpstr>3. VLOOKUP vs HLOOKUP</vt:lpstr>
      <vt:lpstr>ProductTable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2026-09-24T07:30:25Z</dcterms:created>
  <dcterms:modified xsi:type="dcterms:W3CDTF">2026-10-02T06:42:31Z</dcterms:modified>
  <dc:language>en-US</dc:language>
</cp:coreProperties>
</file>