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P\Desktop\Jobaaj Learning\Excel\"/>
    </mc:Choice>
  </mc:AlternateContent>
  <xr:revisionPtr revIDLastSave="0" documentId="13_ncr:1_{F94611DD-C7A4-43EB-B400-C0A330CF61D8}" xr6:coauthVersionLast="36" xr6:coauthVersionMax="36" xr10:uidLastSave="{00000000-0000-0000-0000-000000000000}"/>
  <bookViews>
    <workbookView xWindow="0" yWindow="0" windowWidth="28800" windowHeight="12105" tabRatio="500" firstSheet="1" activeTab="5" xr2:uid="{00000000-000D-0000-FFFF-FFFF00000000}"/>
  </bookViews>
  <sheets>
    <sheet name="Cover" sheetId="1" r:id="rId1"/>
    <sheet name="Raw Data" sheetId="2" r:id="rId2"/>
    <sheet name="1. Getting Started" sheetId="3" r:id="rId3"/>
    <sheet name="2. Grouping &amp; Multi Tables" sheetId="4" r:id="rId4"/>
    <sheet name="3. Date &amp; Blank Grouping" sheetId="5" r:id="rId5"/>
    <sheet name="4. Custom Grouping &amp; CF" sheetId="6" r:id="rId6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7" i="6" l="1"/>
  <c r="C7" i="6"/>
  <c r="D6" i="6"/>
  <c r="C6" i="6"/>
  <c r="C21" i="5"/>
  <c r="B21" i="5"/>
  <c r="C20" i="5"/>
  <c r="B20" i="5"/>
  <c r="C19" i="5"/>
  <c r="B19" i="5"/>
  <c r="C18" i="5"/>
  <c r="B18" i="5"/>
  <c r="C17" i="5"/>
  <c r="B17" i="5"/>
  <c r="D13" i="5"/>
  <c r="D12" i="5"/>
  <c r="D11" i="5"/>
  <c r="D10" i="5"/>
  <c r="D9" i="5"/>
  <c r="B9" i="5"/>
  <c r="D8" i="5"/>
  <c r="B8" i="5"/>
  <c r="D7" i="5"/>
  <c r="B7" i="5"/>
  <c r="D6" i="5"/>
  <c r="B6" i="5"/>
  <c r="E24" i="4"/>
  <c r="E23" i="4"/>
  <c r="B23" i="4"/>
  <c r="E22" i="4"/>
  <c r="B22" i="4"/>
  <c r="E21" i="4"/>
  <c r="B21" i="4"/>
  <c r="B17" i="4"/>
  <c r="B16" i="4"/>
  <c r="D9" i="4" s="1"/>
  <c r="B15" i="4"/>
  <c r="B14" i="4"/>
  <c r="B13" i="4"/>
  <c r="B12" i="4"/>
  <c r="B11" i="4"/>
  <c r="D7" i="4" s="1"/>
  <c r="B10" i="4"/>
  <c r="B9" i="4"/>
  <c r="D8" i="4"/>
  <c r="B8" i="4"/>
  <c r="B7" i="4"/>
  <c r="B6" i="4"/>
  <c r="D6" i="4" s="1"/>
  <c r="B15" i="3"/>
  <c r="B14" i="3"/>
  <c r="B13" i="3"/>
  <c r="D8" i="3"/>
  <c r="C8" i="3"/>
  <c r="B8" i="3"/>
  <c r="D7" i="3"/>
  <c r="C7" i="3"/>
  <c r="C9" i="3" s="1"/>
  <c r="B7" i="3"/>
  <c r="D6" i="3"/>
  <c r="C6" i="3"/>
  <c r="B6" i="3"/>
  <c r="B9" i="3" s="1"/>
</calcChain>
</file>

<file path=xl/sharedStrings.xml><?xml version="1.0" encoding="utf-8"?>
<sst xmlns="http://schemas.openxmlformats.org/spreadsheetml/2006/main" count="297" uniqueCount="144">
  <si>
    <t>Excel Practical Assignment — Section 7: Pivot Table A-2-Z</t>
  </si>
  <si>
    <t>Dataset used: Superstore Sales (Raw Data sheet, 60 sample transactions incl. some blank Region cells)</t>
  </si>
  <si>
    <t>PivotTable-style summaries below use SUMIFS/COUNTIFS/AVERAGEIFS so they mirror a real PivotTable</t>
  </si>
  <si>
    <t>and recalculate live; each sheet explains how to build the actual interactive PivotTable in Excel.</t>
  </si>
  <si>
    <t>Sheets in this workbook:</t>
  </si>
  <si>
    <t>Raw Data -&gt; Shared source table used by every PivotTable-style sheet below</t>
  </si>
  <si>
    <t>1. Getting Started -&gt; Sum/Count/Average by Category, a Region filter, and PivotTable component basics</t>
  </si>
  <si>
    <t>2. Grouping &amp; Multi Tables -&gt; Sales by Month &amp; Quarter, two independent tables side by side</t>
  </si>
  <si>
    <t>3. Date &amp; Blank Grouping -&gt; Sales by Year and Year-Quarter, plus handling a "(blank)" Region group</t>
  </si>
  <si>
    <t>4. Custom Grouping &amp; CF -&gt; a business-defined custom group, plus Color Scale / Data Bar / Icon Set CF</t>
  </si>
  <si>
    <t>Source dataset for Section 7 (Superstore sample) — used as the PivotTable source range on every sheet</t>
  </si>
  <si>
    <t>Product Name</t>
  </si>
  <si>
    <t>Category</t>
  </si>
  <si>
    <t>Region</t>
  </si>
  <si>
    <t>Order Date</t>
  </si>
  <si>
    <t>Sales</t>
  </si>
  <si>
    <t>Profit</t>
  </si>
  <si>
    <t>Quantity</t>
  </si>
  <si>
    <t>Bush Somerset Collection Boo</t>
  </si>
  <si>
    <t>Furniture</t>
  </si>
  <si>
    <t>South</t>
  </si>
  <si>
    <t>Hon Deluxe Fabric Upholstere</t>
  </si>
  <si>
    <t>Self-Adhesive Address Labels</t>
  </si>
  <si>
    <t>Office Supplies</t>
  </si>
  <si>
    <t>West</t>
  </si>
  <si>
    <t xml:space="preserve">Bretford CR4500 Series Slim </t>
  </si>
  <si>
    <t>Eldon Fold 'N Roll Cart Syst</t>
  </si>
  <si>
    <t>Eldon Expressions Wood and P</t>
  </si>
  <si>
    <t>Newell 322</t>
  </si>
  <si>
    <t>Mitel 5320 IP Phone VoIP pho</t>
  </si>
  <si>
    <t>Technology</t>
  </si>
  <si>
    <t xml:space="preserve">DXL Angle-View Binders with </t>
  </si>
  <si>
    <t>Belkin F5C206VTEL 6 Outlet S</t>
  </si>
  <si>
    <t>Chromcraft Rectangular Confe</t>
  </si>
  <si>
    <t>Konftel 250 Conference phone</t>
  </si>
  <si>
    <t>Xerox 1967</t>
  </si>
  <si>
    <t xml:space="preserve">Fellowes PB200 Plastic Comb </t>
  </si>
  <si>
    <t>Holmes Replacement Filter fo</t>
  </si>
  <si>
    <t>Central</t>
  </si>
  <si>
    <t>Storex DuraTech Recycled Pla</t>
  </si>
  <si>
    <t>Stur-D-Stor Shelving, Vertic</t>
  </si>
  <si>
    <t>Fellowes Super Stor/Drawer</t>
  </si>
  <si>
    <t>Newell 341</t>
  </si>
  <si>
    <t>Cisco SPA 501G IP Phone</t>
  </si>
  <si>
    <t>Wilson Jones Hanging View Bi</t>
  </si>
  <si>
    <t>Newell 318</t>
  </si>
  <si>
    <t>Acco Six-Outlet Power Strip,</t>
  </si>
  <si>
    <t>Global Deluxe Stacking Chair</t>
  </si>
  <si>
    <t>East</t>
  </si>
  <si>
    <t>Wilson Jones Active Use Bind</t>
  </si>
  <si>
    <t>Imation 8GB Mini TravelDrive</t>
  </si>
  <si>
    <t>Riverside Palais Royal Lawye</t>
  </si>
  <si>
    <t>Avery Recycled Flexi-View Co</t>
  </si>
  <si>
    <t>Howard Miller 13-3/4" Diamet</t>
  </si>
  <si>
    <t>Poly String Tie Envelopes</t>
  </si>
  <si>
    <t>BOSTON Model 1800 Electric P</t>
  </si>
  <si>
    <t xml:space="preserve">Acco Pressboard Covers with </t>
  </si>
  <si>
    <t>Lumber Crayons</t>
  </si>
  <si>
    <t>Easy-staple paper</t>
  </si>
  <si>
    <t>GE 30524EE4</t>
  </si>
  <si>
    <t>Electrix Architect's Clamp-O</t>
  </si>
  <si>
    <t xml:space="preserve">#10-4 1/8" x 9 1/2" Premium </t>
  </si>
  <si>
    <t>Atlantic Metals Mobile 3-She</t>
  </si>
  <si>
    <t>Global Fabric Manager's Chai</t>
  </si>
  <si>
    <t>Plantronics HL10 Handset Lif</t>
  </si>
  <si>
    <t>Panasonic Kx-TS550</t>
  </si>
  <si>
    <t>Eldon Base for stackable sto</t>
  </si>
  <si>
    <t xml:space="preserve">Advantus 10-Drawer Portable </t>
  </si>
  <si>
    <t>Verbatim 25 GB 6x Blu-ray Si</t>
  </si>
  <si>
    <t>Wilson Jones Leather-Like Bi</t>
  </si>
  <si>
    <t>Gould Plastics 9-Pocket Pane</t>
  </si>
  <si>
    <t>Imation 8gb Micro Traveldriv</t>
  </si>
  <si>
    <t xml:space="preserve">LF Elite 3D Dazzle Designer </t>
  </si>
  <si>
    <t>C-Line Peel &amp; Stick Add-On F</t>
  </si>
  <si>
    <t>Avery 485</t>
  </si>
  <si>
    <t>Longer-Life Soft White Bulbs</t>
  </si>
  <si>
    <t>Global Leather Task Chair, B</t>
  </si>
  <si>
    <t>Advantus Push Pins</t>
  </si>
  <si>
    <t>AT&amp;T CL83451 4-Handset Telep</t>
  </si>
  <si>
    <t>Home/Office Personal File Ca</t>
  </si>
  <si>
    <t>Xerox 232</t>
  </si>
  <si>
    <t>Novimex Turbo Task Chair</t>
  </si>
  <si>
    <t>Array Parchment Paper, Assor</t>
  </si>
  <si>
    <t>Section 7.1 — Getting Started with Pivot Table</t>
  </si>
  <si>
    <t>Tasks 1-5: Sales dataset, Insert PivotTable, Add fields, Apply a filter, Explain components</t>
  </si>
  <si>
    <t>Task 1-3: PivotTable-style summary — Sum of Sales, Count of Orders, Average Sale by Category</t>
  </si>
  <si>
    <t>Row Labels (Category)</t>
  </si>
  <si>
    <t>Sum of Sales</t>
  </si>
  <si>
    <t>Count of Orders</t>
  </si>
  <si>
    <t>Average Sale</t>
  </si>
  <si>
    <t>Grand Total</t>
  </si>
  <si>
    <t>Task 4: Apply a filter — same summary, filtered to Region = "West" only</t>
  </si>
  <si>
    <t>Sum of Sales (Region = West)</t>
  </si>
  <si>
    <t>Section 7.2 — Grouping and Multiple Tables in Pivot Table</t>
  </si>
  <si>
    <t>Tasks 1-5: Group by month, Multiple tables, Group by quarter/year, Compare products across regions, Benefits</t>
  </si>
  <si>
    <t>Task 1 &amp; 3: Sales grouped by Month, and by Quarter</t>
  </si>
  <si>
    <t>Month</t>
  </si>
  <si>
    <t>Quarter</t>
  </si>
  <si>
    <t>Jan</t>
  </si>
  <si>
    <t>Q1</t>
  </si>
  <si>
    <t>Feb</t>
  </si>
  <si>
    <t>Q2</t>
  </si>
  <si>
    <t>Mar</t>
  </si>
  <si>
    <t>Q3</t>
  </si>
  <si>
    <t>Apr</t>
  </si>
  <si>
    <t>Q4</t>
  </si>
  <si>
    <t>May</t>
  </si>
  <si>
    <t>Jun</t>
  </si>
  <si>
    <t>Jul</t>
  </si>
  <si>
    <t>Aug</t>
  </si>
  <si>
    <t>Sep</t>
  </si>
  <si>
    <t>Oct</t>
  </si>
  <si>
    <t>Nov</t>
  </si>
  <si>
    <t>Dec</t>
  </si>
  <si>
    <t>Tasks 2 &amp; 4: Multiple tables — Sales by Category (Table A) and Profit by Region (Table B)</t>
  </si>
  <si>
    <t>Sum of Profit</t>
  </si>
  <si>
    <t>Section 7.3 — Pivot Table for Grouping Via Date, Blank Cells</t>
  </si>
  <si>
    <t>Tasks 1-5: Group by date, Handle blanks, Impact of blanks, Different date formats, Importance of managing blanks</t>
  </si>
  <si>
    <t>Task 1 &amp; 4: Sales grouped by Year, shown in two different date-format groupings</t>
  </si>
  <si>
    <t>Year</t>
  </si>
  <si>
    <t>Year-Quarter (alt. format)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</si>
  <si>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</si>
  <si>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</si>
  <si>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</si>
  <si>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</si>
  <si>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</si>
  <si>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</si>
  <si>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</si>
  <si>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</si>
  <si>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Tasks 2-3: Handling blank Region cells — grouped total including a "(blank)" bucket</t>
  </si>
  <si>
    <t>Region (Row Labels)</t>
  </si>
  <si>
    <t>(blank)</t>
  </si>
  <si>
    <t>Section 7.4 — Custom Grouping, Conditional Formatting in Pivot Table</t>
  </si>
  <si>
    <t>Tasks 1-5: Custom groups, Conditional formatting, Different CF rules, Detailed analysis, Benefits</t>
  </si>
  <si>
    <t>Task 1 &amp; 4: Custom group — Categories combined into a business-defined "Product Group"</t>
  </si>
  <si>
    <t>Product Group (custom)</t>
  </si>
  <si>
    <t>Categories Included</t>
  </si>
  <si>
    <t>Hard Goods</t>
  </si>
  <si>
    <t>Furniture, Technology</t>
  </si>
  <si>
    <t>Consumables</t>
  </si>
  <si>
    <t>Tasks 2-3: Conditional formatting applied to a PivotTable-style report — color scale, data bars, icon set</t>
  </si>
  <si>
    <t>Sum of Sales
(Color Scale)</t>
  </si>
  <si>
    <t>Sum of Sales
(Data Bar)</t>
  </si>
  <si>
    <t>Sum of Sales
(Icon Set)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</si>
</sst>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\$#,##0.00"/>
  </numFmts>
  <fonts count="11" x14ac:knownFonts="1">
    <font>
      <sz val="11"/>
      <color theme="1"/>
      <name val="Calibri"/>
      <family val="2"/>
      <charset val="1"/>
    </font>
    <font>
      <b/>
      <sz val="16"/>
      <color rgb="FF1F4E78"/>
      <name val="Arial"/>
      <charset val="1"/>
    </font>
    <font>
      <i/>
      <sz val="11"/>
      <name val="Arial"/>
      <charset val="1"/>
    </font>
    <font>
      <b/>
      <sz val="11"/>
      <name val="Cambria"/>
      <charset val="1"/>
    </font>
    <font>
      <sz val="10.5"/>
      <name val="Arial"/>
      <charset val="1"/>
    </font>
    <font>
      <b/>
      <sz val="14"/>
      <color rgb="FF1F4E78"/>
      <name val="Arial"/>
      <charset val="1"/>
    </font>
    <font>
      <b/>
      <sz val="11"/>
      <color rgb="FFFFFFFF"/>
      <name val="Arial"/>
      <charset val="1"/>
    </font>
    <font>
      <i/>
      <sz val="10"/>
      <color rgb="FF595959"/>
      <name val="Arial"/>
      <charset val="1"/>
    </font>
    <font>
      <b/>
      <sz val="10.5"/>
      <color rgb="FF1F4E78"/>
      <name val="Arial"/>
      <charset val="1"/>
    </font>
    <font>
      <b/>
      <sz val="10.5"/>
      <name val="Cambria"/>
      <charset val="1"/>
    </font>
    <font>
      <b/>
      <sz val="10"/>
      <name val="Cambria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548235"/>
        <bgColor rgb="FF339966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164" fontId="4" fillId="0" borderId="1" xfId="0" applyNumberFormat="1" applyFont="1" applyBorder="1"/>
    <xf numFmtId="165" fontId="4" fillId="0" borderId="1" xfId="0" applyNumberFormat="1" applyFont="1" applyBorder="1"/>
    <xf numFmtId="0" fontId="7" fillId="0" borderId="0" xfId="0" applyFont="1"/>
    <xf numFmtId="0" fontId="8" fillId="0" borderId="0" xfId="0" applyFont="1"/>
    <xf numFmtId="0" fontId="6" fillId="3" borderId="1" xfId="0" applyFont="1" applyFill="1" applyBorder="1" applyAlignment="1">
      <alignment horizontal="center" vertical="center" wrapText="1"/>
    </xf>
    <xf numFmtId="0" fontId="9" fillId="0" borderId="1" xfId="0" applyFont="1" applyBorder="1"/>
    <xf numFmtId="0" fontId="9" fillId="4" borderId="1" xfId="0" applyFont="1" applyFill="1" applyBorder="1"/>
    <xf numFmtId="165" fontId="9" fillId="4" borderId="1" xfId="0" applyNumberFormat="1" applyFont="1" applyFill="1" applyBorder="1"/>
    <xf numFmtId="0" fontId="0" fillId="4" borderId="1" xfId="0" applyFill="1" applyBorder="1"/>
    <xf numFmtId="0" fontId="10" fillId="0" borderId="0" xfId="0" applyFont="1"/>
    <xf numFmtId="0" fontId="9" fillId="5" borderId="1" xfId="0" applyFont="1" applyFill="1" applyBorder="1"/>
    <xf numFmtId="165" fontId="4" fillId="5" borderId="1" xfId="0" applyNumberFormat="1" applyFont="1" applyFill="1" applyBorder="1"/>
    <xf numFmtId="0" fontId="4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13"/>
  <sheetViews>
    <sheetView topLeftCell="A16" zoomScaleNormal="100" workbookViewId="0"/>
  </sheetViews>
  <sheetFormatPr defaultColWidth="8.7109375" defaultRowHeight="15" x14ac:dyDescent="0.25"/>
  <cols>
    <col min="1" max="1" width="3" customWidth="1"/>
    <col min="2" max="2" width="105" customWidth="1"/>
  </cols>
  <sheetData>
    <row r="2" spans="2:2" ht="20.25" x14ac:dyDescent="0.3">
      <c r="B2" s="1" t="s">
        <v>0</v>
      </c>
    </row>
    <row r="4" spans="2:2" x14ac:dyDescent="0.25">
      <c r="B4" s="2" t="s">
        <v>1</v>
      </c>
    </row>
    <row r="5" spans="2:2" x14ac:dyDescent="0.25">
      <c r="B5" s="2" t="s">
        <v>2</v>
      </c>
    </row>
    <row r="6" spans="2:2" x14ac:dyDescent="0.25">
      <c r="B6" s="2" t="s">
        <v>3</v>
      </c>
    </row>
    <row r="8" spans="2:2" x14ac:dyDescent="0.25">
      <c r="B8" s="3" t="s">
        <v>4</v>
      </c>
    </row>
    <row r="9" spans="2:2" x14ac:dyDescent="0.25">
      <c r="B9" s="4" t="s">
        <v>5</v>
      </c>
    </row>
    <row r="10" spans="2:2" x14ac:dyDescent="0.25">
      <c r="B10" s="4" t="s">
        <v>6</v>
      </c>
    </row>
    <row r="11" spans="2:2" x14ac:dyDescent="0.25">
      <c r="B11" s="4" t="s">
        <v>7</v>
      </c>
    </row>
    <row r="12" spans="2:2" x14ac:dyDescent="0.25">
      <c r="B12" s="4" t="s">
        <v>8</v>
      </c>
    </row>
    <row r="13" spans="2:2" x14ac:dyDescent="0.25">
      <c r="B13" s="4" t="s">
        <v>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4"/>
  <sheetViews>
    <sheetView topLeftCell="A13" zoomScaleNormal="100" workbookViewId="0">
      <selection activeCell="A18" sqref="A18"/>
    </sheetView>
  </sheetViews>
  <sheetFormatPr defaultColWidth="8.7109375" defaultRowHeight="15" x14ac:dyDescent="0.25"/>
  <cols>
    <col min="1" max="1" width="30" customWidth="1"/>
    <col min="2" max="2" width="16" customWidth="1"/>
    <col min="3" max="3" width="10" customWidth="1"/>
    <col min="4" max="4" width="13" customWidth="1"/>
    <col min="5" max="6" width="12" customWidth="1"/>
    <col min="7" max="7" width="10" customWidth="1"/>
  </cols>
  <sheetData>
    <row r="1" spans="1:7" ht="18" x14ac:dyDescent="0.25">
      <c r="A1" s="5" t="s">
        <v>10</v>
      </c>
    </row>
    <row r="4" spans="1:7" x14ac:dyDescent="0.25">
      <c r="A4" s="6" t="s">
        <v>11</v>
      </c>
      <c r="B4" s="6" t="s">
        <v>12</v>
      </c>
      <c r="C4" s="6" t="s">
        <v>13</v>
      </c>
      <c r="D4" s="6" t="s">
        <v>14</v>
      </c>
      <c r="E4" s="6" t="s">
        <v>15</v>
      </c>
      <c r="F4" s="6" t="s">
        <v>16</v>
      </c>
      <c r="G4" s="6" t="s">
        <v>17</v>
      </c>
    </row>
    <row r="5" spans="1:7" x14ac:dyDescent="0.25">
      <c r="A5" s="7" t="s">
        <v>18</v>
      </c>
      <c r="B5" s="7" t="s">
        <v>19</v>
      </c>
      <c r="C5" s="7" t="s">
        <v>20</v>
      </c>
      <c r="D5" s="8">
        <v>42682</v>
      </c>
      <c r="E5" s="9">
        <v>261.95999999999998</v>
      </c>
      <c r="F5" s="9">
        <v>41.913600000000002</v>
      </c>
      <c r="G5" s="7">
        <v>2</v>
      </c>
    </row>
    <row r="6" spans="1:7" x14ac:dyDescent="0.25">
      <c r="A6" s="7" t="s">
        <v>21</v>
      </c>
      <c r="B6" s="7" t="s">
        <v>19</v>
      </c>
      <c r="C6" s="7" t="s">
        <v>20</v>
      </c>
      <c r="D6" s="8">
        <v>42682</v>
      </c>
      <c r="E6" s="9">
        <v>731.94</v>
      </c>
      <c r="F6" s="9">
        <v>219.58199999999999</v>
      </c>
      <c r="G6" s="7">
        <v>3</v>
      </c>
    </row>
    <row r="7" spans="1:7" x14ac:dyDescent="0.25">
      <c r="A7" s="7" t="s">
        <v>22</v>
      </c>
      <c r="B7" s="7" t="s">
        <v>23</v>
      </c>
      <c r="C7" s="7" t="s">
        <v>24</v>
      </c>
      <c r="D7" s="8">
        <v>42533</v>
      </c>
      <c r="E7" s="9">
        <v>14.62</v>
      </c>
      <c r="F7" s="9">
        <v>6.8714000000000004</v>
      </c>
      <c r="G7" s="7">
        <v>2</v>
      </c>
    </row>
    <row r="8" spans="1:7" x14ac:dyDescent="0.25">
      <c r="A8" s="7" t="s">
        <v>25</v>
      </c>
      <c r="B8" s="7" t="s">
        <v>19</v>
      </c>
      <c r="C8" s="7" t="s">
        <v>20</v>
      </c>
      <c r="D8" s="8">
        <v>42288</v>
      </c>
      <c r="E8" s="9">
        <v>957.57749999999999</v>
      </c>
      <c r="F8" s="9">
        <v>-383.03100000000001</v>
      </c>
      <c r="G8" s="7">
        <v>5</v>
      </c>
    </row>
    <row r="9" spans="1:7" x14ac:dyDescent="0.25">
      <c r="A9" s="7" t="s">
        <v>26</v>
      </c>
      <c r="B9" s="7" t="s">
        <v>23</v>
      </c>
      <c r="C9" s="7" t="s">
        <v>20</v>
      </c>
      <c r="D9" s="8">
        <v>42288</v>
      </c>
      <c r="E9" s="9">
        <v>22.367999999999999</v>
      </c>
      <c r="F9" s="9">
        <v>2.5164</v>
      </c>
      <c r="G9" s="7">
        <v>2</v>
      </c>
    </row>
    <row r="10" spans="1:7" x14ac:dyDescent="0.25">
      <c r="A10" s="7" t="s">
        <v>27</v>
      </c>
      <c r="B10" s="7" t="s">
        <v>19</v>
      </c>
      <c r="C10" s="7" t="s">
        <v>24</v>
      </c>
      <c r="D10" s="8">
        <v>41799</v>
      </c>
      <c r="E10" s="9">
        <v>48.86</v>
      </c>
      <c r="F10" s="9">
        <v>14.1694</v>
      </c>
      <c r="G10" s="7">
        <v>7</v>
      </c>
    </row>
    <row r="11" spans="1:7" x14ac:dyDescent="0.25">
      <c r="A11" s="7" t="s">
        <v>28</v>
      </c>
      <c r="B11" s="7" t="s">
        <v>23</v>
      </c>
      <c r="C11" s="7" t="s">
        <v>24</v>
      </c>
      <c r="D11" s="8">
        <v>41799</v>
      </c>
      <c r="E11" s="9">
        <v>7.28</v>
      </c>
      <c r="F11" s="9">
        <v>1.9656</v>
      </c>
      <c r="G11" s="7">
        <v>4</v>
      </c>
    </row>
    <row r="12" spans="1:7" x14ac:dyDescent="0.25">
      <c r="A12" s="7" t="s">
        <v>29</v>
      </c>
      <c r="B12" s="7" t="s">
        <v>30</v>
      </c>
      <c r="C12" s="7" t="s">
        <v>24</v>
      </c>
      <c r="D12" s="8">
        <v>41799</v>
      </c>
      <c r="E12" s="9">
        <v>907.15200000000004</v>
      </c>
      <c r="F12" s="9">
        <v>90.715199999999996</v>
      </c>
      <c r="G12" s="7">
        <v>6</v>
      </c>
    </row>
    <row r="13" spans="1:7" x14ac:dyDescent="0.25">
      <c r="A13" s="7" t="s">
        <v>31</v>
      </c>
      <c r="B13" s="7" t="s">
        <v>23</v>
      </c>
      <c r="C13" s="7" t="s">
        <v>24</v>
      </c>
      <c r="D13" s="8">
        <v>41799</v>
      </c>
      <c r="E13" s="9">
        <v>18.504000000000001</v>
      </c>
      <c r="F13" s="9">
        <v>5.7824999999999998</v>
      </c>
      <c r="G13" s="7">
        <v>3</v>
      </c>
    </row>
    <row r="14" spans="1:7" x14ac:dyDescent="0.25">
      <c r="A14" s="7" t="s">
        <v>32</v>
      </c>
      <c r="B14" s="7" t="s">
        <v>23</v>
      </c>
      <c r="C14" s="7" t="s">
        <v>24</v>
      </c>
      <c r="D14" s="8">
        <v>41799</v>
      </c>
      <c r="E14" s="9">
        <v>114.9</v>
      </c>
      <c r="F14" s="9">
        <v>34.47</v>
      </c>
      <c r="G14" s="7">
        <v>5</v>
      </c>
    </row>
    <row r="15" spans="1:7" x14ac:dyDescent="0.25">
      <c r="A15" s="7" t="s">
        <v>33</v>
      </c>
      <c r="B15" s="7" t="s">
        <v>19</v>
      </c>
      <c r="C15" s="7"/>
      <c r="D15" s="8">
        <v>41799</v>
      </c>
      <c r="E15" s="9">
        <v>1706.184</v>
      </c>
      <c r="F15" s="9">
        <v>85.309199999999805</v>
      </c>
      <c r="G15" s="7">
        <v>9</v>
      </c>
    </row>
    <row r="16" spans="1:7" x14ac:dyDescent="0.25">
      <c r="A16" s="7" t="s">
        <v>34</v>
      </c>
      <c r="B16" s="7" t="s">
        <v>30</v>
      </c>
      <c r="C16" s="7" t="s">
        <v>24</v>
      </c>
      <c r="D16" s="8">
        <v>41799</v>
      </c>
      <c r="E16" s="9">
        <v>911.42399999999998</v>
      </c>
      <c r="F16" s="9">
        <v>68.356800000000007</v>
      </c>
      <c r="G16" s="7">
        <v>4</v>
      </c>
    </row>
    <row r="17" spans="1:7" x14ac:dyDescent="0.25">
      <c r="A17" s="7" t="s">
        <v>35</v>
      </c>
      <c r="B17" s="7" t="s">
        <v>23</v>
      </c>
      <c r="C17" s="7" t="s">
        <v>20</v>
      </c>
      <c r="D17" s="8">
        <v>42840</v>
      </c>
      <c r="E17" s="9">
        <v>15.552</v>
      </c>
      <c r="F17" s="9">
        <v>5.4432</v>
      </c>
      <c r="G17" s="7">
        <v>3</v>
      </c>
    </row>
    <row r="18" spans="1:7" x14ac:dyDescent="0.25">
      <c r="A18" s="7" t="s">
        <v>36</v>
      </c>
      <c r="B18" s="7" t="s">
        <v>23</v>
      </c>
      <c r="C18" s="7" t="s">
        <v>24</v>
      </c>
      <c r="D18" s="8">
        <v>42709</v>
      </c>
      <c r="E18" s="9">
        <v>407.976</v>
      </c>
      <c r="F18" s="9">
        <v>132.59219999999999</v>
      </c>
      <c r="G18" s="7">
        <v>3</v>
      </c>
    </row>
    <row r="19" spans="1:7" x14ac:dyDescent="0.25">
      <c r="A19" s="7" t="s">
        <v>37</v>
      </c>
      <c r="B19" s="7" t="s">
        <v>23</v>
      </c>
      <c r="C19" s="7" t="s">
        <v>38</v>
      </c>
      <c r="D19" s="8">
        <v>42330</v>
      </c>
      <c r="E19" s="9">
        <v>68.81</v>
      </c>
      <c r="F19" s="9">
        <v>-123.858</v>
      </c>
      <c r="G19" s="7">
        <v>5</v>
      </c>
    </row>
    <row r="20" spans="1:7" x14ac:dyDescent="0.25">
      <c r="A20" s="7" t="s">
        <v>39</v>
      </c>
      <c r="B20" s="7" t="s">
        <v>23</v>
      </c>
      <c r="C20" s="7" t="s">
        <v>38</v>
      </c>
      <c r="D20" s="8">
        <v>42330</v>
      </c>
      <c r="E20" s="9">
        <v>2.544</v>
      </c>
      <c r="F20" s="9">
        <v>-3.8159999999999998</v>
      </c>
      <c r="G20" s="7">
        <v>3</v>
      </c>
    </row>
    <row r="21" spans="1:7" x14ac:dyDescent="0.25">
      <c r="A21" s="7" t="s">
        <v>40</v>
      </c>
      <c r="B21" s="7" t="s">
        <v>23</v>
      </c>
      <c r="C21" s="7" t="s">
        <v>38</v>
      </c>
      <c r="D21" s="8">
        <v>41954</v>
      </c>
      <c r="E21" s="9">
        <v>665.88</v>
      </c>
      <c r="F21" s="9">
        <v>13.317600000000001</v>
      </c>
      <c r="G21" s="7">
        <v>6</v>
      </c>
    </row>
    <row r="22" spans="1:7" x14ac:dyDescent="0.25">
      <c r="A22" s="7" t="s">
        <v>41</v>
      </c>
      <c r="B22" s="7" t="s">
        <v>23</v>
      </c>
      <c r="C22" s="7" t="s">
        <v>24</v>
      </c>
      <c r="D22" s="8">
        <v>41772</v>
      </c>
      <c r="E22" s="9">
        <v>55.5</v>
      </c>
      <c r="F22" s="9">
        <v>9.99</v>
      </c>
      <c r="G22" s="7">
        <v>2</v>
      </c>
    </row>
    <row r="23" spans="1:7" x14ac:dyDescent="0.25">
      <c r="A23" s="7" t="s">
        <v>42</v>
      </c>
      <c r="B23" s="7" t="s">
        <v>23</v>
      </c>
      <c r="C23" s="7" t="s">
        <v>24</v>
      </c>
      <c r="D23" s="8">
        <v>41878</v>
      </c>
      <c r="E23" s="9">
        <v>8.56</v>
      </c>
      <c r="F23" s="9">
        <v>2.4824000000000002</v>
      </c>
      <c r="G23" s="7">
        <v>2</v>
      </c>
    </row>
    <row r="24" spans="1:7" x14ac:dyDescent="0.25">
      <c r="A24" s="7" t="s">
        <v>43</v>
      </c>
      <c r="B24" s="7" t="s">
        <v>30</v>
      </c>
      <c r="C24" s="7" t="s">
        <v>24</v>
      </c>
      <c r="D24" s="8">
        <v>41878</v>
      </c>
      <c r="E24" s="9">
        <v>213.48</v>
      </c>
      <c r="F24" s="9">
        <v>16.010999999999999</v>
      </c>
      <c r="G24" s="7">
        <v>3</v>
      </c>
    </row>
    <row r="25" spans="1:7" x14ac:dyDescent="0.25">
      <c r="A25" s="7" t="s">
        <v>44</v>
      </c>
      <c r="B25" s="7" t="s">
        <v>23</v>
      </c>
      <c r="C25" s="7" t="s">
        <v>24</v>
      </c>
      <c r="D25" s="8">
        <v>41878</v>
      </c>
      <c r="E25" s="9">
        <v>22.72</v>
      </c>
      <c r="F25" s="9">
        <v>7.3840000000000003</v>
      </c>
      <c r="G25" s="7">
        <v>4</v>
      </c>
    </row>
    <row r="26" spans="1:7" x14ac:dyDescent="0.25">
      <c r="A26" s="7" t="s">
        <v>45</v>
      </c>
      <c r="B26" s="7" t="s">
        <v>23</v>
      </c>
      <c r="C26" s="7"/>
      <c r="D26" s="8">
        <v>42713</v>
      </c>
      <c r="E26" s="9">
        <v>19.46</v>
      </c>
      <c r="F26" s="9">
        <v>5.0595999999999997</v>
      </c>
      <c r="G26" s="7">
        <v>7</v>
      </c>
    </row>
    <row r="27" spans="1:7" x14ac:dyDescent="0.25">
      <c r="A27" s="7" t="s">
        <v>46</v>
      </c>
      <c r="B27" s="7" t="s">
        <v>23</v>
      </c>
      <c r="C27" s="7" t="s">
        <v>38</v>
      </c>
      <c r="D27" s="8">
        <v>42713</v>
      </c>
      <c r="E27" s="9">
        <v>60.34</v>
      </c>
      <c r="F27" s="9">
        <v>15.6884</v>
      </c>
      <c r="G27" s="7">
        <v>7</v>
      </c>
    </row>
    <row r="28" spans="1:7" x14ac:dyDescent="0.25">
      <c r="A28" s="7" t="s">
        <v>47</v>
      </c>
      <c r="B28" s="7" t="s">
        <v>19</v>
      </c>
      <c r="C28" s="7" t="s">
        <v>48</v>
      </c>
      <c r="D28" s="8">
        <v>42932</v>
      </c>
      <c r="E28" s="9">
        <v>71.372</v>
      </c>
      <c r="F28" s="9">
        <v>-1.0196000000000001</v>
      </c>
      <c r="G28" s="7">
        <v>2</v>
      </c>
    </row>
    <row r="29" spans="1:7" x14ac:dyDescent="0.25">
      <c r="A29" s="7" t="s">
        <v>25</v>
      </c>
      <c r="B29" s="7" t="s">
        <v>19</v>
      </c>
      <c r="C29" s="7" t="s">
        <v>24</v>
      </c>
      <c r="D29" s="8">
        <v>42272</v>
      </c>
      <c r="E29" s="9">
        <v>1044.6300000000001</v>
      </c>
      <c r="F29" s="9">
        <v>240.26490000000001</v>
      </c>
      <c r="G29" s="7">
        <v>3</v>
      </c>
    </row>
    <row r="30" spans="1:7" x14ac:dyDescent="0.25">
      <c r="A30" s="7" t="s">
        <v>49</v>
      </c>
      <c r="B30" s="7" t="s">
        <v>23</v>
      </c>
      <c r="C30" s="7" t="s">
        <v>24</v>
      </c>
      <c r="D30" s="8">
        <v>42385</v>
      </c>
      <c r="E30" s="9">
        <v>11.648</v>
      </c>
      <c r="F30" s="9">
        <v>4.2224000000000004</v>
      </c>
      <c r="G30" s="7">
        <v>2</v>
      </c>
    </row>
    <row r="31" spans="1:7" x14ac:dyDescent="0.25">
      <c r="A31" s="7" t="s">
        <v>50</v>
      </c>
      <c r="B31" s="7" t="s">
        <v>30</v>
      </c>
      <c r="C31" s="7" t="s">
        <v>24</v>
      </c>
      <c r="D31" s="8">
        <v>42385</v>
      </c>
      <c r="E31" s="9">
        <v>90.57</v>
      </c>
      <c r="F31" s="9">
        <v>11.774100000000001</v>
      </c>
      <c r="G31" s="7">
        <v>3</v>
      </c>
    </row>
    <row r="32" spans="1:7" x14ac:dyDescent="0.25">
      <c r="A32" s="7" t="s">
        <v>51</v>
      </c>
      <c r="B32" s="7" t="s">
        <v>19</v>
      </c>
      <c r="C32" s="7" t="s">
        <v>48</v>
      </c>
      <c r="D32" s="8">
        <v>42264</v>
      </c>
      <c r="E32" s="9">
        <v>3083.43</v>
      </c>
      <c r="F32" s="9">
        <v>-1665.0522000000001</v>
      </c>
      <c r="G32" s="7">
        <v>7</v>
      </c>
    </row>
    <row r="33" spans="1:7" x14ac:dyDescent="0.25">
      <c r="A33" s="7" t="s">
        <v>52</v>
      </c>
      <c r="B33" s="7" t="s">
        <v>23</v>
      </c>
      <c r="C33" s="7" t="s">
        <v>48</v>
      </c>
      <c r="D33" s="8">
        <v>42264</v>
      </c>
      <c r="E33" s="9">
        <v>9.6180000000000003</v>
      </c>
      <c r="F33" s="9">
        <v>-7.0532000000000004</v>
      </c>
      <c r="G33" s="7">
        <v>2</v>
      </c>
    </row>
    <row r="34" spans="1:7" x14ac:dyDescent="0.25">
      <c r="A34" s="7" t="s">
        <v>53</v>
      </c>
      <c r="B34" s="7" t="s">
        <v>19</v>
      </c>
      <c r="C34" s="7" t="s">
        <v>48</v>
      </c>
      <c r="D34" s="8">
        <v>42264</v>
      </c>
      <c r="E34" s="9">
        <v>124.2</v>
      </c>
      <c r="F34" s="9">
        <v>15.525</v>
      </c>
      <c r="G34" s="7">
        <v>3</v>
      </c>
    </row>
    <row r="35" spans="1:7" x14ac:dyDescent="0.25">
      <c r="A35" s="7" t="s">
        <v>54</v>
      </c>
      <c r="B35" s="7" t="s">
        <v>23</v>
      </c>
      <c r="C35" s="7" t="s">
        <v>48</v>
      </c>
      <c r="D35" s="8">
        <v>42264</v>
      </c>
      <c r="E35" s="9">
        <v>3.2639999999999998</v>
      </c>
      <c r="F35" s="9">
        <v>1.1015999999999999</v>
      </c>
      <c r="G35" s="7">
        <v>2</v>
      </c>
    </row>
    <row r="36" spans="1:7" x14ac:dyDescent="0.25">
      <c r="A36" s="7" t="s">
        <v>55</v>
      </c>
      <c r="B36" s="7" t="s">
        <v>23</v>
      </c>
      <c r="C36" s="7" t="s">
        <v>48</v>
      </c>
      <c r="D36" s="8">
        <v>42264</v>
      </c>
      <c r="E36" s="9">
        <v>86.304000000000002</v>
      </c>
      <c r="F36" s="9">
        <v>9.7091999999999903</v>
      </c>
      <c r="G36" s="7">
        <v>6</v>
      </c>
    </row>
    <row r="37" spans="1:7" x14ac:dyDescent="0.25">
      <c r="A37" s="7" t="s">
        <v>56</v>
      </c>
      <c r="B37" s="7" t="s">
        <v>23</v>
      </c>
      <c r="C37" s="7"/>
      <c r="D37" s="8">
        <v>42264</v>
      </c>
      <c r="E37" s="9">
        <v>6.8579999999999997</v>
      </c>
      <c r="F37" s="9">
        <v>-5.7149999999999999</v>
      </c>
      <c r="G37" s="7">
        <v>6</v>
      </c>
    </row>
    <row r="38" spans="1:7" x14ac:dyDescent="0.25">
      <c r="A38" s="7" t="s">
        <v>57</v>
      </c>
      <c r="B38" s="7" t="s">
        <v>23</v>
      </c>
      <c r="C38" s="7" t="s">
        <v>48</v>
      </c>
      <c r="D38" s="8">
        <v>42264</v>
      </c>
      <c r="E38" s="9">
        <v>15.76</v>
      </c>
      <c r="F38" s="9">
        <v>3.5459999999999998</v>
      </c>
      <c r="G38" s="7">
        <v>2</v>
      </c>
    </row>
    <row r="39" spans="1:7" x14ac:dyDescent="0.25">
      <c r="A39" s="7" t="s">
        <v>58</v>
      </c>
      <c r="B39" s="7" t="s">
        <v>23</v>
      </c>
      <c r="C39" s="7" t="s">
        <v>38</v>
      </c>
      <c r="D39" s="8">
        <v>43027</v>
      </c>
      <c r="E39" s="9">
        <v>29.472000000000001</v>
      </c>
      <c r="F39" s="9">
        <v>9.9467999999999996</v>
      </c>
      <c r="G39" s="7">
        <v>3</v>
      </c>
    </row>
    <row r="40" spans="1:7" x14ac:dyDescent="0.25">
      <c r="A40" s="7" t="s">
        <v>59</v>
      </c>
      <c r="B40" s="7" t="s">
        <v>30</v>
      </c>
      <c r="C40" s="7" t="s">
        <v>38</v>
      </c>
      <c r="D40" s="8">
        <v>42712</v>
      </c>
      <c r="E40" s="9">
        <v>1097.5440000000001</v>
      </c>
      <c r="F40" s="9">
        <v>123.47369999999999</v>
      </c>
      <c r="G40" s="7">
        <v>7</v>
      </c>
    </row>
    <row r="41" spans="1:7" x14ac:dyDescent="0.25">
      <c r="A41" s="7" t="s">
        <v>60</v>
      </c>
      <c r="B41" s="7" t="s">
        <v>19</v>
      </c>
      <c r="C41" s="7" t="s">
        <v>38</v>
      </c>
      <c r="D41" s="8">
        <v>42712</v>
      </c>
      <c r="E41" s="9">
        <v>190.92</v>
      </c>
      <c r="F41" s="9">
        <v>-147.96299999999999</v>
      </c>
      <c r="G41" s="7">
        <v>5</v>
      </c>
    </row>
    <row r="42" spans="1:7" x14ac:dyDescent="0.25">
      <c r="A42" s="7" t="s">
        <v>61</v>
      </c>
      <c r="B42" s="7" t="s">
        <v>23</v>
      </c>
      <c r="C42" s="7" t="s">
        <v>38</v>
      </c>
      <c r="D42" s="8">
        <v>42365</v>
      </c>
      <c r="E42" s="9">
        <v>113.328</v>
      </c>
      <c r="F42" s="9">
        <v>35.414999999999999</v>
      </c>
      <c r="G42" s="7">
        <v>9</v>
      </c>
    </row>
    <row r="43" spans="1:7" x14ac:dyDescent="0.25">
      <c r="A43" s="7" t="s">
        <v>62</v>
      </c>
      <c r="B43" s="7" t="s">
        <v>19</v>
      </c>
      <c r="C43" s="7" t="s">
        <v>38</v>
      </c>
      <c r="D43" s="8">
        <v>42365</v>
      </c>
      <c r="E43" s="9">
        <v>532.39919999999995</v>
      </c>
      <c r="F43" s="9">
        <v>-46.976399999999998</v>
      </c>
      <c r="G43" s="7">
        <v>3</v>
      </c>
    </row>
    <row r="44" spans="1:7" x14ac:dyDescent="0.25">
      <c r="A44" s="7" t="s">
        <v>63</v>
      </c>
      <c r="B44" s="7" t="s">
        <v>19</v>
      </c>
      <c r="C44" s="7" t="s">
        <v>38</v>
      </c>
      <c r="D44" s="8">
        <v>42365</v>
      </c>
      <c r="E44" s="9">
        <v>212.05799999999999</v>
      </c>
      <c r="F44" s="9">
        <v>-15.147</v>
      </c>
      <c r="G44" s="7">
        <v>3</v>
      </c>
    </row>
    <row r="45" spans="1:7" x14ac:dyDescent="0.25">
      <c r="A45" s="7" t="s">
        <v>64</v>
      </c>
      <c r="B45" s="7" t="s">
        <v>30</v>
      </c>
      <c r="C45" s="7" t="s">
        <v>38</v>
      </c>
      <c r="D45" s="8">
        <v>42365</v>
      </c>
      <c r="E45" s="9">
        <v>371.16800000000001</v>
      </c>
      <c r="F45" s="9">
        <v>41.756399999999999</v>
      </c>
      <c r="G45" s="7">
        <v>4</v>
      </c>
    </row>
    <row r="46" spans="1:7" x14ac:dyDescent="0.25">
      <c r="A46" s="7" t="s">
        <v>65</v>
      </c>
      <c r="B46" s="7" t="s">
        <v>30</v>
      </c>
      <c r="C46" s="7" t="s">
        <v>38</v>
      </c>
      <c r="D46" s="8">
        <v>42988</v>
      </c>
      <c r="E46" s="9">
        <v>147.16800000000001</v>
      </c>
      <c r="F46" s="9">
        <v>16.5564</v>
      </c>
      <c r="G46" s="7">
        <v>4</v>
      </c>
    </row>
    <row r="47" spans="1:7" x14ac:dyDescent="0.25">
      <c r="A47" s="7" t="s">
        <v>66</v>
      </c>
      <c r="B47" s="7" t="s">
        <v>23</v>
      </c>
      <c r="C47" s="7" t="s">
        <v>24</v>
      </c>
      <c r="D47" s="8">
        <v>42568</v>
      </c>
      <c r="E47" s="9">
        <v>77.88</v>
      </c>
      <c r="F47" s="9">
        <v>3.8939999999999899</v>
      </c>
      <c r="G47" s="7">
        <v>2</v>
      </c>
    </row>
    <row r="48" spans="1:7" x14ac:dyDescent="0.25">
      <c r="A48" s="7" t="s">
        <v>67</v>
      </c>
      <c r="B48" s="7" t="s">
        <v>23</v>
      </c>
      <c r="C48" s="7"/>
      <c r="D48" s="8">
        <v>42997</v>
      </c>
      <c r="E48" s="9">
        <v>95.616</v>
      </c>
      <c r="F48" s="9">
        <v>9.5616000000000092</v>
      </c>
      <c r="G48" s="7">
        <v>2</v>
      </c>
    </row>
    <row r="49" spans="1:7" x14ac:dyDescent="0.25">
      <c r="A49" s="7" t="s">
        <v>68</v>
      </c>
      <c r="B49" s="7" t="s">
        <v>30</v>
      </c>
      <c r="C49" s="7" t="s">
        <v>38</v>
      </c>
      <c r="D49" s="8">
        <v>42440</v>
      </c>
      <c r="E49" s="9">
        <v>45.98</v>
      </c>
      <c r="F49" s="9">
        <v>19.7714</v>
      </c>
      <c r="G49" s="7">
        <v>2</v>
      </c>
    </row>
    <row r="50" spans="1:7" x14ac:dyDescent="0.25">
      <c r="A50" s="7" t="s">
        <v>69</v>
      </c>
      <c r="B50" s="7" t="s">
        <v>23</v>
      </c>
      <c r="C50" s="7" t="s">
        <v>38</v>
      </c>
      <c r="D50" s="8">
        <v>42440</v>
      </c>
      <c r="E50" s="9">
        <v>17.46</v>
      </c>
      <c r="F50" s="9">
        <v>8.2062000000000008</v>
      </c>
      <c r="G50" s="7">
        <v>2</v>
      </c>
    </row>
    <row r="51" spans="1:7" x14ac:dyDescent="0.25">
      <c r="A51" s="7" t="s">
        <v>70</v>
      </c>
      <c r="B51" s="7" t="s">
        <v>23</v>
      </c>
      <c r="C51" s="7" t="s">
        <v>38</v>
      </c>
      <c r="D51" s="8">
        <v>41932</v>
      </c>
      <c r="E51" s="9">
        <v>211.96</v>
      </c>
      <c r="F51" s="9">
        <v>8.4783999999999899</v>
      </c>
      <c r="G51" s="7">
        <v>4</v>
      </c>
    </row>
    <row r="52" spans="1:7" x14ac:dyDescent="0.25">
      <c r="A52" s="7" t="s">
        <v>71</v>
      </c>
      <c r="B52" s="7" t="s">
        <v>30</v>
      </c>
      <c r="C52" s="7" t="s">
        <v>48</v>
      </c>
      <c r="D52" s="8">
        <v>42541</v>
      </c>
      <c r="E52" s="9">
        <v>45</v>
      </c>
      <c r="F52" s="9">
        <v>4.95</v>
      </c>
      <c r="G52" s="7">
        <v>3</v>
      </c>
    </row>
    <row r="53" spans="1:7" x14ac:dyDescent="0.25">
      <c r="A53" s="7" t="s">
        <v>72</v>
      </c>
      <c r="B53" s="7" t="s">
        <v>30</v>
      </c>
      <c r="C53" s="7" t="s">
        <v>48</v>
      </c>
      <c r="D53" s="8">
        <v>42541</v>
      </c>
      <c r="E53" s="9">
        <v>21.8</v>
      </c>
      <c r="F53" s="9">
        <v>6.1040000000000001</v>
      </c>
      <c r="G53" s="7">
        <v>2</v>
      </c>
    </row>
    <row r="54" spans="1:7" x14ac:dyDescent="0.25">
      <c r="A54" s="7" t="s">
        <v>73</v>
      </c>
      <c r="B54" s="7" t="s">
        <v>23</v>
      </c>
      <c r="C54" s="7" t="s">
        <v>38</v>
      </c>
      <c r="D54" s="8">
        <v>42112</v>
      </c>
      <c r="E54" s="9">
        <v>38.22</v>
      </c>
      <c r="F54" s="9">
        <v>17.9634</v>
      </c>
      <c r="G54" s="7">
        <v>6</v>
      </c>
    </row>
    <row r="55" spans="1:7" x14ac:dyDescent="0.25">
      <c r="A55" s="7" t="s">
        <v>74</v>
      </c>
      <c r="B55" s="7" t="s">
        <v>23</v>
      </c>
      <c r="C55" s="7" t="s">
        <v>38</v>
      </c>
      <c r="D55" s="8">
        <v>42112</v>
      </c>
      <c r="E55" s="9">
        <v>75.180000000000007</v>
      </c>
      <c r="F55" s="9">
        <v>35.334600000000002</v>
      </c>
      <c r="G55" s="7">
        <v>6</v>
      </c>
    </row>
    <row r="56" spans="1:7" x14ac:dyDescent="0.25">
      <c r="A56" s="7" t="s">
        <v>75</v>
      </c>
      <c r="B56" s="7" t="s">
        <v>19</v>
      </c>
      <c r="C56" s="7" t="s">
        <v>38</v>
      </c>
      <c r="D56" s="8">
        <v>42112</v>
      </c>
      <c r="E56" s="9">
        <v>6.16</v>
      </c>
      <c r="F56" s="9">
        <v>2.9567999999999999</v>
      </c>
      <c r="G56" s="7">
        <v>2</v>
      </c>
    </row>
    <row r="57" spans="1:7" x14ac:dyDescent="0.25">
      <c r="A57" s="7" t="s">
        <v>76</v>
      </c>
      <c r="B57" s="7" t="s">
        <v>19</v>
      </c>
      <c r="C57" s="7" t="s">
        <v>38</v>
      </c>
      <c r="D57" s="8">
        <v>42112</v>
      </c>
      <c r="E57" s="9">
        <v>89.99</v>
      </c>
      <c r="F57" s="9">
        <v>17.098099999999999</v>
      </c>
      <c r="G57" s="7">
        <v>1</v>
      </c>
    </row>
    <row r="58" spans="1:7" x14ac:dyDescent="0.25">
      <c r="A58" s="7" t="s">
        <v>77</v>
      </c>
      <c r="B58" s="7" t="s">
        <v>23</v>
      </c>
      <c r="C58" s="7" t="s">
        <v>48</v>
      </c>
      <c r="D58" s="8">
        <v>42715</v>
      </c>
      <c r="E58" s="9">
        <v>15.26</v>
      </c>
      <c r="F58" s="9">
        <v>6.2565999999999997</v>
      </c>
      <c r="G58" s="7">
        <v>7</v>
      </c>
    </row>
    <row r="59" spans="1:7" x14ac:dyDescent="0.25">
      <c r="A59" s="7" t="s">
        <v>78</v>
      </c>
      <c r="B59" s="7" t="s">
        <v>30</v>
      </c>
      <c r="C59" s="7"/>
      <c r="D59" s="8">
        <v>42715</v>
      </c>
      <c r="E59" s="9">
        <v>1029.95</v>
      </c>
      <c r="F59" s="9">
        <v>298.68549999999999</v>
      </c>
      <c r="G59" s="7">
        <v>5</v>
      </c>
    </row>
    <row r="60" spans="1:7" x14ac:dyDescent="0.25">
      <c r="A60" s="7" t="s">
        <v>79</v>
      </c>
      <c r="B60" s="7" t="s">
        <v>23</v>
      </c>
      <c r="C60" s="7" t="s">
        <v>48</v>
      </c>
      <c r="D60" s="8">
        <v>42538</v>
      </c>
      <c r="E60" s="9">
        <v>208.56</v>
      </c>
      <c r="F60" s="9">
        <v>52.14</v>
      </c>
      <c r="G60" s="7">
        <v>6</v>
      </c>
    </row>
    <row r="61" spans="1:7" x14ac:dyDescent="0.25">
      <c r="A61" s="7" t="s">
        <v>80</v>
      </c>
      <c r="B61" s="7" t="s">
        <v>23</v>
      </c>
      <c r="C61" s="7" t="s">
        <v>48</v>
      </c>
      <c r="D61" s="8">
        <v>42538</v>
      </c>
      <c r="E61" s="9">
        <v>32.4</v>
      </c>
      <c r="F61" s="9">
        <v>15.552</v>
      </c>
      <c r="G61" s="7">
        <v>5</v>
      </c>
    </row>
    <row r="62" spans="1:7" x14ac:dyDescent="0.25">
      <c r="A62" s="7" t="s">
        <v>81</v>
      </c>
      <c r="B62" s="7" t="s">
        <v>19</v>
      </c>
      <c r="C62" s="7" t="s">
        <v>48</v>
      </c>
      <c r="D62" s="8">
        <v>42538</v>
      </c>
      <c r="E62" s="9">
        <v>319.41000000000003</v>
      </c>
      <c r="F62" s="9">
        <v>7.0980000000000096</v>
      </c>
      <c r="G62" s="7">
        <v>5</v>
      </c>
    </row>
    <row r="63" spans="1:7" x14ac:dyDescent="0.25">
      <c r="A63" s="7" t="s">
        <v>82</v>
      </c>
      <c r="B63" s="7" t="s">
        <v>23</v>
      </c>
      <c r="C63" s="7" t="s">
        <v>48</v>
      </c>
      <c r="D63" s="8">
        <v>42538</v>
      </c>
      <c r="E63" s="9">
        <v>14.56</v>
      </c>
      <c r="F63" s="9">
        <v>6.9888000000000003</v>
      </c>
      <c r="G63" s="7">
        <v>2</v>
      </c>
    </row>
    <row r="64" spans="1:7" x14ac:dyDescent="0.25">
      <c r="A64" s="7" t="s">
        <v>71</v>
      </c>
      <c r="B64" s="7" t="s">
        <v>30</v>
      </c>
      <c r="C64" s="7" t="s">
        <v>48</v>
      </c>
      <c r="D64" s="8">
        <v>42538</v>
      </c>
      <c r="E64" s="9">
        <v>30</v>
      </c>
      <c r="F64" s="9">
        <v>3.3</v>
      </c>
      <c r="G64" s="7">
        <v>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7"/>
  <sheetViews>
    <sheetView zoomScaleNormal="100" workbookViewId="0">
      <selection activeCell="D25" sqref="D25"/>
    </sheetView>
  </sheetViews>
  <sheetFormatPr defaultColWidth="8.7109375" defaultRowHeight="15" x14ac:dyDescent="0.25"/>
  <cols>
    <col min="1" max="1" width="20" customWidth="1"/>
    <col min="2" max="2" width="24" customWidth="1"/>
    <col min="3" max="4" width="16" customWidth="1"/>
  </cols>
  <sheetData>
    <row r="1" spans="1:4" ht="18" x14ac:dyDescent="0.25">
      <c r="A1" s="5" t="s">
        <v>83</v>
      </c>
    </row>
    <row r="2" spans="1:4" x14ac:dyDescent="0.25">
      <c r="A2" s="10" t="s">
        <v>84</v>
      </c>
    </row>
    <row r="4" spans="1:4" x14ac:dyDescent="0.25">
      <c r="A4" s="11" t="s">
        <v>85</v>
      </c>
    </row>
    <row r="5" spans="1:4" ht="30" x14ac:dyDescent="0.25">
      <c r="A5" s="12" t="s">
        <v>86</v>
      </c>
      <c r="B5" s="12" t="s">
        <v>87</v>
      </c>
      <c r="C5" s="12" t="s">
        <v>88</v>
      </c>
      <c r="D5" s="12" t="s">
        <v>89</v>
      </c>
    </row>
    <row r="6" spans="1:4" x14ac:dyDescent="0.25">
      <c r="A6" s="13" t="s">
        <v>19</v>
      </c>
      <c r="B6" s="9">
        <f>SUMIFS('Raw Data'!$E$5:$E$64,'Raw Data'!$B$5:$B$64,A6)</f>
        <v>9381.0906999999988</v>
      </c>
      <c r="C6" s="7">
        <f>COUNTIFS('Raw Data'!$B$5:$B$64,A6)</f>
        <v>15</v>
      </c>
      <c r="D6" s="9">
        <f>AVERAGEIFS('Raw Data'!$E$5:$E$64,'Raw Data'!$B$5:$B$64,A6)</f>
        <v>625.40604666666661</v>
      </c>
    </row>
    <row r="7" spans="1:4" x14ac:dyDescent="0.25">
      <c r="A7" s="13" t="s">
        <v>23</v>
      </c>
      <c r="B7" s="9">
        <f>SUMIFS('Raw Data'!$E$5:$E$64,'Raw Data'!$B$5:$B$64,A7)</f>
        <v>2568.3619999999996</v>
      </c>
      <c r="C7" s="7">
        <f>COUNTIFS('Raw Data'!$B$5:$B$64,A7)</f>
        <v>33</v>
      </c>
      <c r="D7" s="9">
        <f>AVERAGEIFS('Raw Data'!$E$5:$E$64,'Raw Data'!$B$5:$B$64,A7)</f>
        <v>77.829151515151509</v>
      </c>
    </row>
    <row r="8" spans="1:4" x14ac:dyDescent="0.25">
      <c r="A8" s="13" t="s">
        <v>30</v>
      </c>
      <c r="B8" s="9">
        <f>SUMIFS('Raw Data'!$E$5:$E$64,'Raw Data'!$B$5:$B$64,A8)</f>
        <v>4911.2360000000008</v>
      </c>
      <c r="C8" s="7">
        <f>COUNTIFS('Raw Data'!$B$5:$B$64,A8)</f>
        <v>12</v>
      </c>
      <c r="D8" s="9">
        <f>AVERAGEIFS('Raw Data'!$E$5:$E$64,'Raw Data'!$B$5:$B$64,A8)</f>
        <v>409.26966666666675</v>
      </c>
    </row>
    <row r="9" spans="1:4" x14ac:dyDescent="0.25">
      <c r="A9" s="14" t="s">
        <v>90</v>
      </c>
      <c r="B9" s="15">
        <f>SUM(B6:B8)</f>
        <v>16860.688699999999</v>
      </c>
      <c r="C9" s="14">
        <f>SUM(C6:C8)</f>
        <v>60</v>
      </c>
      <c r="D9" s="16"/>
    </row>
    <row r="11" spans="1:4" x14ac:dyDescent="0.25">
      <c r="A11" s="11" t="s">
        <v>91</v>
      </c>
    </row>
    <row r="12" spans="1:4" ht="30" x14ac:dyDescent="0.25">
      <c r="A12" s="12" t="s">
        <v>86</v>
      </c>
      <c r="B12" s="12" t="s">
        <v>92</v>
      </c>
    </row>
    <row r="13" spans="1:4" x14ac:dyDescent="0.25">
      <c r="A13" s="13" t="s">
        <v>19</v>
      </c>
      <c r="B13" s="9">
        <f>SUMIFS('Raw Data'!$E$5:$E$64,'Raw Data'!$B$5:$B$64,A13,'Raw Data'!$C$5:$C$64,"West")</f>
        <v>1093.49</v>
      </c>
    </row>
    <row r="14" spans="1:4" x14ac:dyDescent="0.25">
      <c r="A14" s="13" t="s">
        <v>23</v>
      </c>
      <c r="B14" s="9">
        <f>SUMIFS('Raw Data'!$E$5:$E$64,'Raw Data'!$B$5:$B$64,A14,'Raw Data'!$C$5:$C$64,"West")</f>
        <v>739.58799999999997</v>
      </c>
    </row>
    <row r="15" spans="1:4" x14ac:dyDescent="0.25">
      <c r="A15" s="13" t="s">
        <v>30</v>
      </c>
      <c r="B15" s="9">
        <f>SUMIFS('Raw Data'!$E$5:$E$64,'Raw Data'!$B$5:$B$64,A15,'Raw Data'!$C$5:$C$64,"West")</f>
        <v>2122.6260000000002</v>
      </c>
    </row>
    <row r="17" spans="1:1" x14ac:dyDescent="0.25">
      <c r="A17" s="17"/>
    </row>
    <row r="18" spans="1:1" x14ac:dyDescent="0.25">
      <c r="A18" s="10"/>
    </row>
    <row r="19" spans="1:1" x14ac:dyDescent="0.25">
      <c r="A19" s="10"/>
    </row>
    <row r="20" spans="1:1" x14ac:dyDescent="0.25">
      <c r="A20" s="10"/>
    </row>
    <row r="21" spans="1:1" x14ac:dyDescent="0.25">
      <c r="A21" s="10"/>
    </row>
    <row r="22" spans="1:1" x14ac:dyDescent="0.25">
      <c r="A22" s="10"/>
    </row>
    <row r="23" spans="1:1" x14ac:dyDescent="0.25">
      <c r="A23" s="10"/>
    </row>
    <row r="24" spans="1:1" x14ac:dyDescent="0.25">
      <c r="A24" s="10"/>
    </row>
    <row r="25" spans="1:1" x14ac:dyDescent="0.25">
      <c r="A25" s="10"/>
    </row>
    <row r="26" spans="1:1" x14ac:dyDescent="0.25">
      <c r="A26" s="10"/>
    </row>
    <row r="27" spans="1:1" x14ac:dyDescent="0.25">
      <c r="A27" s="10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8"/>
  <sheetViews>
    <sheetView zoomScaleNormal="100" workbookViewId="0">
      <selection activeCell="E11" sqref="E11"/>
    </sheetView>
  </sheetViews>
  <sheetFormatPr defaultColWidth="8.7109375" defaultRowHeight="15" x14ac:dyDescent="0.25"/>
  <cols>
    <col min="1" max="1" width="20" customWidth="1"/>
    <col min="2" max="2" width="16" customWidth="1"/>
    <col min="3" max="3" width="12" customWidth="1"/>
    <col min="4" max="4" width="14" customWidth="1"/>
    <col min="5" max="5" width="16" customWidth="1"/>
  </cols>
  <sheetData>
    <row r="1" spans="1:4" ht="18" x14ac:dyDescent="0.25">
      <c r="A1" s="5" t="s">
        <v>93</v>
      </c>
    </row>
    <row r="2" spans="1:4" x14ac:dyDescent="0.25">
      <c r="A2" s="10" t="s">
        <v>94</v>
      </c>
    </row>
    <row r="4" spans="1:4" x14ac:dyDescent="0.25">
      <c r="A4" s="11" t="s">
        <v>95</v>
      </c>
    </row>
    <row r="5" spans="1:4" ht="30" x14ac:dyDescent="0.25">
      <c r="A5" s="12" t="s">
        <v>96</v>
      </c>
      <c r="B5" s="12" t="s">
        <v>87</v>
      </c>
      <c r="C5" s="12" t="s">
        <v>97</v>
      </c>
      <c r="D5" s="12" t="s">
        <v>87</v>
      </c>
    </row>
    <row r="6" spans="1:4" x14ac:dyDescent="0.25">
      <c r="A6" s="13" t="s">
        <v>98</v>
      </c>
      <c r="B6" s="9">
        <f>SUMPRODUCT(('Raw Data'!$D$5:$D$64&gt;=DATE(2016,1,1))*('Raw Data'!$D$5:$D$64&lt;DATE(2016,1+1,1))*'Raw Data'!$E$5:$E$64)+SUMPRODUCT(('Raw Data'!$D$5:$D$64&gt;=DATE(2015,1,1))*('Raw Data'!$D$5:$D$64&lt;DATE(2015,1+1,1))*'Raw Data'!$E$5:$E$64)+SUMPRODUCT(('Raw Data'!$D$5:$D$64&gt;=DATE(2014,1,1))*('Raw Data'!$D$5:$D$64&lt;DATE(2014,1+1,1))*'Raw Data'!$E$5:$E$64)+SUMPRODUCT(('Raw Data'!$D$5:$D$64&gt;=DATE(2017,1,1))*('Raw Data'!$D$5:$D$64&lt;DATE(2017,1+1,1))*'Raw Data'!$E$5:$E$64)</f>
        <v>102.21799999999999</v>
      </c>
      <c r="C6" s="13" t="s">
        <v>99</v>
      </c>
      <c r="D6" s="9">
        <f>SUM(B6:B8)</f>
        <v>165.65799999999999</v>
      </c>
    </row>
    <row r="7" spans="1:4" x14ac:dyDescent="0.25">
      <c r="A7" s="13" t="s">
        <v>100</v>
      </c>
      <c r="B7" s="9">
        <f>SUMPRODUCT(('Raw Data'!$D$5:$D$64&gt;=DATE(2016,2,1))*('Raw Data'!$D$5:$D$64&lt;DATE(2016,2+1,1))*'Raw Data'!$E$5:$E$64)+SUMPRODUCT(('Raw Data'!$D$5:$D$64&gt;=DATE(2015,2,1))*('Raw Data'!$D$5:$D$64&lt;DATE(2015,2+1,1))*'Raw Data'!$E$5:$E$64)+SUMPRODUCT(('Raw Data'!$D$5:$D$64&gt;=DATE(2014,2,1))*('Raw Data'!$D$5:$D$64&lt;DATE(2014,2+1,1))*'Raw Data'!$E$5:$E$64)+SUMPRODUCT(('Raw Data'!$D$5:$D$64&gt;=DATE(2017,2,1))*('Raw Data'!$D$5:$D$64&lt;DATE(2017,2+1,1))*'Raw Data'!$E$5:$E$64)</f>
        <v>0</v>
      </c>
      <c r="C7" s="13" t="s">
        <v>101</v>
      </c>
      <c r="D7" s="9">
        <f>SUM(B9:B11)</f>
        <v>4681.2560000000003</v>
      </c>
    </row>
    <row r="8" spans="1:4" x14ac:dyDescent="0.25">
      <c r="A8" s="13" t="s">
        <v>102</v>
      </c>
      <c r="B8" s="9">
        <f>SUMPRODUCT(('Raw Data'!$D$5:$D$64&gt;=DATE(2016,3,1))*('Raw Data'!$D$5:$D$64&lt;DATE(2016,3+1,1))*'Raw Data'!$E$5:$E$64)+SUMPRODUCT(('Raw Data'!$D$5:$D$64&gt;=DATE(2015,3,1))*('Raw Data'!$D$5:$D$64&lt;DATE(2015,3+1,1))*'Raw Data'!$E$5:$E$64)+SUMPRODUCT(('Raw Data'!$D$5:$D$64&gt;=DATE(2014,3,1))*('Raw Data'!$D$5:$D$64&lt;DATE(2014,3+1,1))*'Raw Data'!$E$5:$E$64)+SUMPRODUCT(('Raw Data'!$D$5:$D$64&gt;=DATE(2017,3,1))*('Raw Data'!$D$5:$D$64&lt;DATE(2017,3+1,1))*'Raw Data'!$E$5:$E$64)</f>
        <v>63.44</v>
      </c>
      <c r="C8" s="13" t="s">
        <v>103</v>
      </c>
      <c r="D8" s="9">
        <f>SUM(B12:B14)</f>
        <v>5010.8599999999997</v>
      </c>
    </row>
    <row r="9" spans="1:4" x14ac:dyDescent="0.25">
      <c r="A9" s="13" t="s">
        <v>104</v>
      </c>
      <c r="B9" s="9">
        <f>SUMPRODUCT(('Raw Data'!$D$5:$D$64&gt;=DATE(2016,4,1))*('Raw Data'!$D$5:$D$64&lt;DATE(2016,4+1,1))*'Raw Data'!$E$5:$E$64)+SUMPRODUCT(('Raw Data'!$D$5:$D$64&gt;=DATE(2015,4,1))*('Raw Data'!$D$5:$D$64&lt;DATE(2015,4+1,1))*'Raw Data'!$E$5:$E$64)+SUMPRODUCT(('Raw Data'!$D$5:$D$64&gt;=DATE(2014,4,1))*('Raw Data'!$D$5:$D$64&lt;DATE(2014,4+1,1))*'Raw Data'!$E$5:$E$64)+SUMPRODUCT(('Raw Data'!$D$5:$D$64&gt;=DATE(2017,4,1))*('Raw Data'!$D$5:$D$64&lt;DATE(2017,4+1,1))*'Raw Data'!$E$5:$E$64)</f>
        <v>225.102</v>
      </c>
      <c r="C9" s="13" t="s">
        <v>105</v>
      </c>
      <c r="D9" s="9">
        <f>SUM(B15:B17)</f>
        <v>7002.9147000000003</v>
      </c>
    </row>
    <row r="10" spans="1:4" x14ac:dyDescent="0.25">
      <c r="A10" s="13" t="s">
        <v>106</v>
      </c>
      <c r="B10" s="9">
        <f>SUMPRODUCT(('Raw Data'!$D$5:$D$64&gt;=DATE(2016,5,1))*('Raw Data'!$D$5:$D$64&lt;DATE(2016,5+1,1))*'Raw Data'!$E$5:$E$64)+SUMPRODUCT(('Raw Data'!$D$5:$D$64&gt;=DATE(2015,5,1))*('Raw Data'!$D$5:$D$64&lt;DATE(2015,5+1,1))*'Raw Data'!$E$5:$E$64)+SUMPRODUCT(('Raw Data'!$D$5:$D$64&gt;=DATE(2014,5,1))*('Raw Data'!$D$5:$D$64&lt;DATE(2014,5+1,1))*'Raw Data'!$E$5:$E$64)+SUMPRODUCT(('Raw Data'!$D$5:$D$64&gt;=DATE(2017,5,1))*('Raw Data'!$D$5:$D$64&lt;DATE(2017,5+1,1))*'Raw Data'!$E$5:$E$64)</f>
        <v>55.5</v>
      </c>
    </row>
    <row r="11" spans="1:4" x14ac:dyDescent="0.25">
      <c r="A11" s="13" t="s">
        <v>107</v>
      </c>
      <c r="B11" s="9">
        <f>SUMPRODUCT(('Raw Data'!$D$5:$D$64&gt;=DATE(2016,6,1))*('Raw Data'!$D$5:$D$64&lt;DATE(2016,6+1,1))*'Raw Data'!$E$5:$E$64)+SUMPRODUCT(('Raw Data'!$D$5:$D$64&gt;=DATE(2015,6,1))*('Raw Data'!$D$5:$D$64&lt;DATE(2015,6+1,1))*'Raw Data'!$E$5:$E$64)+SUMPRODUCT(('Raw Data'!$D$5:$D$64&gt;=DATE(2014,6,1))*('Raw Data'!$D$5:$D$64&lt;DATE(2014,6+1,1))*'Raw Data'!$E$5:$E$64)+SUMPRODUCT(('Raw Data'!$D$5:$D$64&gt;=DATE(2017,6,1))*('Raw Data'!$D$5:$D$64&lt;DATE(2017,6+1,1))*'Raw Data'!$E$5:$E$64)</f>
        <v>4400.6540000000005</v>
      </c>
    </row>
    <row r="12" spans="1:4" x14ac:dyDescent="0.25">
      <c r="A12" s="13" t="s">
        <v>108</v>
      </c>
      <c r="B12" s="9">
        <f>SUMPRODUCT(('Raw Data'!$D$5:$D$64&gt;=DATE(2016,7,1))*('Raw Data'!$D$5:$D$64&lt;DATE(2016,7+1,1))*'Raw Data'!$E$5:$E$64)+SUMPRODUCT(('Raw Data'!$D$5:$D$64&gt;=DATE(2015,7,1))*('Raw Data'!$D$5:$D$64&lt;DATE(2015,7+1,1))*'Raw Data'!$E$5:$E$64)+SUMPRODUCT(('Raw Data'!$D$5:$D$64&gt;=DATE(2014,7,1))*('Raw Data'!$D$5:$D$64&lt;DATE(2014,7+1,1))*'Raw Data'!$E$5:$E$64)+SUMPRODUCT(('Raw Data'!$D$5:$D$64&gt;=DATE(2017,7,1))*('Raw Data'!$D$5:$D$64&lt;DATE(2017,7+1,1))*'Raw Data'!$E$5:$E$64)</f>
        <v>149.25200000000001</v>
      </c>
    </row>
    <row r="13" spans="1:4" x14ac:dyDescent="0.25">
      <c r="A13" s="13" t="s">
        <v>109</v>
      </c>
      <c r="B13" s="9">
        <f>SUMPRODUCT(('Raw Data'!$D$5:$D$64&gt;=DATE(2016,8,1))*('Raw Data'!$D$5:$D$64&lt;DATE(2016,8+1,1))*'Raw Data'!$E$5:$E$64)+SUMPRODUCT(('Raw Data'!$D$5:$D$64&gt;=DATE(2015,8,1))*('Raw Data'!$D$5:$D$64&lt;DATE(2015,8+1,1))*'Raw Data'!$E$5:$E$64)+SUMPRODUCT(('Raw Data'!$D$5:$D$64&gt;=DATE(2014,8,1))*('Raw Data'!$D$5:$D$64&lt;DATE(2014,8+1,1))*'Raw Data'!$E$5:$E$64)+SUMPRODUCT(('Raw Data'!$D$5:$D$64&gt;=DATE(2017,8,1))*('Raw Data'!$D$5:$D$64&lt;DATE(2017,8+1,1))*'Raw Data'!$E$5:$E$64)</f>
        <v>244.76</v>
      </c>
    </row>
    <row r="14" spans="1:4" x14ac:dyDescent="0.25">
      <c r="A14" s="13" t="s">
        <v>110</v>
      </c>
      <c r="B14" s="9">
        <f>SUMPRODUCT(('Raw Data'!$D$5:$D$64&gt;=DATE(2016,9,1))*('Raw Data'!$D$5:$D$64&lt;DATE(2016,9+1,1))*'Raw Data'!$E$5:$E$64)+SUMPRODUCT(('Raw Data'!$D$5:$D$64&gt;=DATE(2015,9,1))*('Raw Data'!$D$5:$D$64&lt;DATE(2015,9+1,1))*'Raw Data'!$E$5:$E$64)+SUMPRODUCT(('Raw Data'!$D$5:$D$64&gt;=DATE(2014,9,1))*('Raw Data'!$D$5:$D$64&lt;DATE(2014,9+1,1))*'Raw Data'!$E$5:$E$64)+SUMPRODUCT(('Raw Data'!$D$5:$D$64&gt;=DATE(2017,9,1))*('Raw Data'!$D$5:$D$64&lt;DATE(2017,9+1,1))*'Raw Data'!$E$5:$E$64)</f>
        <v>4616.848</v>
      </c>
    </row>
    <row r="15" spans="1:4" x14ac:dyDescent="0.25">
      <c r="A15" s="13" t="s">
        <v>111</v>
      </c>
      <c r="B15" s="9">
        <f>SUMPRODUCT(('Raw Data'!$D$5:$D$64&gt;=DATE(2016,10,1))*('Raw Data'!$D$5:$D$64&lt;DATE(2016,10+1,1))*'Raw Data'!$E$5:$E$64)+SUMPRODUCT(('Raw Data'!$D$5:$D$64&gt;=DATE(2015,10,1))*('Raw Data'!$D$5:$D$64&lt;DATE(2015,10+1,1))*'Raw Data'!$E$5:$E$64)+SUMPRODUCT(('Raw Data'!$D$5:$D$64&gt;=DATE(2014,10,1))*('Raw Data'!$D$5:$D$64&lt;DATE(2014,10+1,1))*'Raw Data'!$E$5:$E$64)+SUMPRODUCT(('Raw Data'!$D$5:$D$64&gt;=DATE(2017,10,1))*('Raw Data'!$D$5:$D$64&lt;DATE(2017,10+1,1))*'Raw Data'!$E$5:$E$64)</f>
        <v>1221.3775000000001</v>
      </c>
    </row>
    <row r="16" spans="1:4" x14ac:dyDescent="0.25">
      <c r="A16" s="13" t="s">
        <v>112</v>
      </c>
      <c r="B16" s="9">
        <f>SUMPRODUCT(('Raw Data'!$D$5:$D$64&gt;=DATE(2016,11,1))*('Raw Data'!$D$5:$D$64&lt;DATE(2016,11+1,1))*'Raw Data'!$E$5:$E$64)+SUMPRODUCT(('Raw Data'!$D$5:$D$64&gt;=DATE(2015,11,1))*('Raw Data'!$D$5:$D$64&lt;DATE(2015,11+1,1))*'Raw Data'!$E$5:$E$64)+SUMPRODUCT(('Raw Data'!$D$5:$D$64&gt;=DATE(2014,11,1))*('Raw Data'!$D$5:$D$64&lt;DATE(2014,11+1,1))*'Raw Data'!$E$5:$E$64)+SUMPRODUCT(('Raw Data'!$D$5:$D$64&gt;=DATE(2017,11,1))*('Raw Data'!$D$5:$D$64&lt;DATE(2017,11+1,1))*'Raw Data'!$E$5:$E$64)</f>
        <v>1731.134</v>
      </c>
    </row>
    <row r="17" spans="1:5" x14ac:dyDescent="0.25">
      <c r="A17" s="13" t="s">
        <v>113</v>
      </c>
      <c r="B17" s="9">
        <f>SUMPRODUCT(('Raw Data'!$D$5:$D$64&gt;=DATE(2016,12,1))*('Raw Data'!$D$5:$D$64&lt;DATE(2016,12+1,1))*'Raw Data'!$E$5:$E$64)+SUMPRODUCT(('Raw Data'!$D$5:$D$64&gt;=DATE(2015,12,1))*('Raw Data'!$D$5:$D$64&lt;DATE(2015,12+1,1))*'Raw Data'!$E$5:$E$64)+SUMPRODUCT(('Raw Data'!$D$5:$D$64&gt;=DATE(2014,12,1))*('Raw Data'!$D$5:$D$64&lt;DATE(2014,12+1,1))*'Raw Data'!$E$5:$E$64)+SUMPRODUCT(('Raw Data'!$D$5:$D$64&gt;=DATE(2017,12,1))*('Raw Data'!$D$5:$D$64&lt;DATE(2017,12+1,1))*'Raw Data'!$E$5:$E$64)</f>
        <v>4050.4032000000002</v>
      </c>
    </row>
    <row r="19" spans="1:5" x14ac:dyDescent="0.25">
      <c r="A19" s="11" t="s">
        <v>114</v>
      </c>
    </row>
    <row r="20" spans="1:5" x14ac:dyDescent="0.25">
      <c r="A20" s="12" t="s">
        <v>12</v>
      </c>
      <c r="B20" s="12" t="s">
        <v>87</v>
      </c>
      <c r="D20" s="12" t="s">
        <v>13</v>
      </c>
      <c r="E20" s="12" t="s">
        <v>115</v>
      </c>
    </row>
    <row r="21" spans="1:5" x14ac:dyDescent="0.25">
      <c r="A21" s="13" t="s">
        <v>19</v>
      </c>
      <c r="B21" s="9">
        <f>SUMIFS('Raw Data'!$E$5:$E$64,'Raw Data'!$B$5:$B$64,A21)</f>
        <v>9381.0906999999988</v>
      </c>
      <c r="D21" s="13" t="s">
        <v>38</v>
      </c>
      <c r="E21" s="9">
        <f>SUMIFS('Raw Data'!$F$5:$F$64,'Raw Data'!$C$5:$C$64,D21)</f>
        <v>28.202799999999975</v>
      </c>
    </row>
    <row r="22" spans="1:5" x14ac:dyDescent="0.25">
      <c r="A22" s="13" t="s">
        <v>23</v>
      </c>
      <c r="B22" s="9">
        <f>SUMIFS('Raw Data'!$E$5:$E$64,'Raw Data'!$B$5:$B$64,A22)</f>
        <v>2568.3619999999996</v>
      </c>
      <c r="D22" s="13" t="s">
        <v>48</v>
      </c>
      <c r="E22" s="9">
        <f>SUMIFS('Raw Data'!$F$5:$F$64,'Raw Data'!$C$5:$C$64,D22)</f>
        <v>-1540.8538000000001</v>
      </c>
    </row>
    <row r="23" spans="1:5" x14ac:dyDescent="0.25">
      <c r="A23" s="13" t="s">
        <v>30</v>
      </c>
      <c r="B23" s="9">
        <f>SUMIFS('Raw Data'!$E$5:$E$64,'Raw Data'!$B$5:$B$64,A23)</f>
        <v>4911.2360000000008</v>
      </c>
      <c r="D23" s="13" t="s">
        <v>20</v>
      </c>
      <c r="E23" s="9">
        <f>SUMIFS('Raw Data'!$F$5:$F$64,'Raw Data'!$C$5:$C$64,D23)</f>
        <v>-113.57580000000003</v>
      </c>
    </row>
    <row r="24" spans="1:5" x14ac:dyDescent="0.25">
      <c r="D24" s="13" t="s">
        <v>24</v>
      </c>
      <c r="E24" s="9">
        <f>SUMIFS('Raw Data'!$F$5:$F$64,'Raw Data'!$C$5:$C$64,D24)</f>
        <v>650.94589999999994</v>
      </c>
    </row>
    <row r="26" spans="1:5" x14ac:dyDescent="0.25">
      <c r="A26" s="17"/>
    </row>
    <row r="27" spans="1:5" x14ac:dyDescent="0.25">
      <c r="A27" s="10"/>
    </row>
    <row r="28" spans="1:5" x14ac:dyDescent="0.25">
      <c r="A28" s="10"/>
    </row>
    <row r="29" spans="1:5" x14ac:dyDescent="0.25">
      <c r="A29" s="10"/>
    </row>
    <row r="30" spans="1:5" x14ac:dyDescent="0.25">
      <c r="A30" s="10"/>
    </row>
    <row r="31" spans="1:5" x14ac:dyDescent="0.25">
      <c r="A31" s="10"/>
    </row>
    <row r="32" spans="1:5" x14ac:dyDescent="0.25">
      <c r="A32" s="10"/>
    </row>
    <row r="33" spans="1:1" x14ac:dyDescent="0.25">
      <c r="A33" s="10"/>
    </row>
    <row r="34" spans="1:1" x14ac:dyDescent="0.25">
      <c r="A34" s="10"/>
    </row>
    <row r="35" spans="1:1" x14ac:dyDescent="0.25">
      <c r="A35" s="10"/>
    </row>
    <row r="36" spans="1:1" x14ac:dyDescent="0.25">
      <c r="A36" s="10"/>
    </row>
    <row r="37" spans="1:1" x14ac:dyDescent="0.25">
      <c r="A37" s="10"/>
    </row>
    <row r="38" spans="1:1" x14ac:dyDescent="0.25">
      <c r="A38" s="10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5"/>
  <sheetViews>
    <sheetView topLeftCell="A4" zoomScaleNormal="100" workbookViewId="0">
      <selection activeCell="A23" sqref="A23:F37"/>
    </sheetView>
  </sheetViews>
  <sheetFormatPr defaultColWidth="8.7109375" defaultRowHeight="15" x14ac:dyDescent="0.25"/>
  <cols>
    <col min="1" max="1" width="18" customWidth="1"/>
    <col min="2" max="4" width="14" customWidth="1"/>
  </cols>
  <sheetData>
    <row r="1" spans="1:4" ht="18" x14ac:dyDescent="0.25">
      <c r="A1" s="5" t="s">
        <v>116</v>
      </c>
    </row>
    <row r="2" spans="1:4" x14ac:dyDescent="0.25">
      <c r="A2" s="10" t="s">
        <v>117</v>
      </c>
    </row>
    <row r="4" spans="1:4" x14ac:dyDescent="0.25">
      <c r="A4" s="11" t="s">
        <v>118</v>
      </c>
    </row>
    <row r="5" spans="1:4" ht="45" x14ac:dyDescent="0.25">
      <c r="A5" s="12" t="s">
        <v>119</v>
      </c>
      <c r="B5" s="12" t="s">
        <v>87</v>
      </c>
      <c r="C5" s="12" t="s">
        <v>120</v>
      </c>
      <c r="D5" s="12" t="s">
        <v>87</v>
      </c>
    </row>
    <row r="6" spans="1:4" x14ac:dyDescent="0.25">
      <c r="A6" s="13">
        <v>2014</v>
      </c>
      <c r="B6" s="9">
        <f>SUMIFS('Raw Data'!$E$5:$E$64,'Raw Data'!$D$5:$D$64,"&gt;="&amp;DATE(2014,1,1),'Raw Data'!$D$5:$D$64,"&lt;"&amp;DATE(2014+1,1,1))</f>
        <v>4892.4040000000005</v>
      </c>
      <c r="C6" s="13" t="s">
        <v>121</v>
      </c>
      <c r="D6" s="9">
        <f>SUMIFS('Raw Data'!$E$5:$E$64,'Raw Data'!$D$5:$D$64,"&gt;="&amp;DATE(2014,1,1),'Raw Data'!$D$5:$D$64,"&lt;"&amp;DATE(2014,1+3,1))</f>
        <v>0</v>
      </c>
    </row>
    <row r="7" spans="1:4" x14ac:dyDescent="0.25">
      <c r="A7" s="13">
        <v>2015</v>
      </c>
      <c r="B7" s="9">
        <f>SUMIFS('Raw Data'!$E$5:$E$64,'Raw Data'!$D$5:$D$64,"&gt;="&amp;DATE(2015,1,1),'Raw Data'!$D$5:$D$64,"&lt;"&amp;DATE(2015+1,1,1))</f>
        <v>6863.8667000000014</v>
      </c>
      <c r="C7" s="13" t="s">
        <v>122</v>
      </c>
      <c r="D7" s="9">
        <f>SUMIFS('Raw Data'!$E$5:$E$64,'Raw Data'!$D$5:$D$64,"&gt;="&amp;DATE(2014,4,1),'Raw Data'!$D$5:$D$64,"&lt;"&amp;DATE(2014,4+3,1))</f>
        <v>3769.8040000000001</v>
      </c>
    </row>
    <row r="8" spans="1:4" x14ac:dyDescent="0.25">
      <c r="A8" s="13">
        <v>2016</v>
      </c>
      <c r="B8" s="9">
        <f>SUMIFS('Raw Data'!$E$5:$E$64,'Raw Data'!$D$5:$D$64,"&gt;="&amp;DATE(2016,1,1),'Raw Data'!$D$5:$D$64,"&lt;"&amp;DATE(2016+1,1,1))</f>
        <v>4745.2380000000012</v>
      </c>
      <c r="C8" s="13" t="s">
        <v>123</v>
      </c>
      <c r="D8" s="9">
        <f>SUMIFS('Raw Data'!$E$5:$E$64,'Raw Data'!$D$5:$D$64,"&gt;="&amp;DATE(2014,7,1),'Raw Data'!$D$5:$D$64,"&lt;"&amp;DATE(2014,7+3,1))</f>
        <v>244.76</v>
      </c>
    </row>
    <row r="9" spans="1:4" x14ac:dyDescent="0.25">
      <c r="A9" s="13">
        <v>2017</v>
      </c>
      <c r="B9" s="9">
        <f>SUMIFS('Raw Data'!$E$5:$E$64,'Raw Data'!$D$5:$D$64,"&gt;="&amp;DATE(2017,1,1),'Raw Data'!$D$5:$D$64,"&lt;"&amp;DATE(2017+1,1,1))</f>
        <v>359.18</v>
      </c>
      <c r="C9" s="13" t="s">
        <v>124</v>
      </c>
      <c r="D9" s="9">
        <f>SUMIFS('Raw Data'!$E$5:$E$64,'Raw Data'!$D$5:$D$64,"&gt;="&amp;DATE(2014,10,1),'Raw Data'!$D$5:$D$64,"&lt;"&amp;DATE(2014,10+3,1))</f>
        <v>877.84</v>
      </c>
    </row>
    <row r="10" spans="1:4" x14ac:dyDescent="0.25">
      <c r="C10" s="13" t="s">
        <v>125</v>
      </c>
      <c r="D10" s="9">
        <f>SUMIFS('Raw Data'!$E$5:$E$64,'Raw Data'!$D$5:$D$64,"&gt;="&amp;DATE(2015,1,1),'Raw Data'!$D$5:$D$64,"&lt;"&amp;DATE(2015,1+3,1))</f>
        <v>0</v>
      </c>
    </row>
    <row r="11" spans="1:4" x14ac:dyDescent="0.25">
      <c r="C11" s="13" t="s">
        <v>126</v>
      </c>
      <c r="D11" s="9">
        <f>SUMIFS('Raw Data'!$E$5:$E$64,'Raw Data'!$D$5:$D$64,"&gt;="&amp;DATE(2015,4,1),'Raw Data'!$D$5:$D$64,"&lt;"&amp;DATE(2015,4+3,1))</f>
        <v>209.55</v>
      </c>
    </row>
    <row r="12" spans="1:4" x14ac:dyDescent="0.25">
      <c r="C12" s="13" t="s">
        <v>127</v>
      </c>
      <c r="D12" s="9">
        <f>SUMIFS('Raw Data'!$E$5:$E$64,'Raw Data'!$D$5:$D$64,"&gt;="&amp;DATE(2015,7,1),'Raw Data'!$D$5:$D$64,"&lt;"&amp;DATE(2015,7+3,1))</f>
        <v>4374.0640000000003</v>
      </c>
    </row>
    <row r="13" spans="1:4" x14ac:dyDescent="0.25">
      <c r="C13" s="13" t="s">
        <v>128</v>
      </c>
      <c r="D13" s="9">
        <f>SUMIFS('Raw Data'!$E$5:$E$64,'Raw Data'!$D$5:$D$64,"&gt;="&amp;DATE(2015,10,1),'Raw Data'!$D$5:$D$64,"&lt;"&amp;DATE(2015,10+3,1))</f>
        <v>2280.2527</v>
      </c>
    </row>
    <row r="15" spans="1:4" x14ac:dyDescent="0.25">
      <c r="A15" s="11" t="s">
        <v>129</v>
      </c>
    </row>
    <row r="16" spans="1:4" ht="30" x14ac:dyDescent="0.25">
      <c r="A16" s="12" t="s">
        <v>130</v>
      </c>
      <c r="B16" s="12" t="s">
        <v>87</v>
      </c>
      <c r="C16" s="12" t="s">
        <v>88</v>
      </c>
    </row>
    <row r="17" spans="1:3" x14ac:dyDescent="0.25">
      <c r="A17" s="13" t="s">
        <v>38</v>
      </c>
      <c r="B17" s="9">
        <f>SUMIFS('Raw Data'!$E$5:$E$64,'Raw Data'!$C$5:$C$64,A17)</f>
        <v>3976.5811999999996</v>
      </c>
      <c r="C17" s="7">
        <f>COUNTIFS('Raw Data'!$C$5:$C$64,A17)</f>
        <v>19</v>
      </c>
    </row>
    <row r="18" spans="1:3" x14ac:dyDescent="0.25">
      <c r="A18" s="13" t="s">
        <v>48</v>
      </c>
      <c r="B18" s="9">
        <f>SUMIFS('Raw Data'!$E$5:$E$64,'Raw Data'!$C$5:$C$64,A18)</f>
        <v>4080.9380000000001</v>
      </c>
      <c r="C18" s="7">
        <f>COUNTIFS('Raw Data'!$C$5:$C$64,A18)</f>
        <v>15</v>
      </c>
    </row>
    <row r="19" spans="1:3" x14ac:dyDescent="0.25">
      <c r="A19" s="13" t="s">
        <v>20</v>
      </c>
      <c r="B19" s="9">
        <f>SUMIFS('Raw Data'!$E$5:$E$64,'Raw Data'!$C$5:$C$64,A19)</f>
        <v>1989.3974999999998</v>
      </c>
      <c r="C19" s="7">
        <f>COUNTIFS('Raw Data'!$C$5:$C$64,A19)</f>
        <v>5</v>
      </c>
    </row>
    <row r="20" spans="1:3" x14ac:dyDescent="0.25">
      <c r="A20" s="13" t="s">
        <v>24</v>
      </c>
      <c r="B20" s="9">
        <f>SUMIFS('Raw Data'!$E$5:$E$64,'Raw Data'!$C$5:$C$64,A20)</f>
        <v>3955.7040000000002</v>
      </c>
      <c r="C20" s="7">
        <f>COUNTIFS('Raw Data'!$C$5:$C$64,A20)</f>
        <v>16</v>
      </c>
    </row>
    <row r="21" spans="1:3" x14ac:dyDescent="0.25">
      <c r="A21" s="18" t="s">
        <v>131</v>
      </c>
      <c r="B21" s="19">
        <f>SUMIFS('Raw Data'!$E$5:$E$64,'Raw Data'!$C$5:$C$64,"")</f>
        <v>2858.0680000000002</v>
      </c>
      <c r="C21" s="20">
        <f>COUNTIFS('Raw Data'!$C$5:$C$64,"")</f>
        <v>5</v>
      </c>
    </row>
    <row r="23" spans="1:3" x14ac:dyDescent="0.25">
      <c r="A23" s="17"/>
    </row>
    <row r="24" spans="1:3" x14ac:dyDescent="0.25">
      <c r="A24" s="10"/>
    </row>
    <row r="25" spans="1:3" x14ac:dyDescent="0.25">
      <c r="A25" s="10"/>
    </row>
    <row r="26" spans="1:3" x14ac:dyDescent="0.25">
      <c r="A26" s="10"/>
    </row>
    <row r="27" spans="1:3" x14ac:dyDescent="0.25">
      <c r="A27" s="10"/>
    </row>
    <row r="28" spans="1:3" x14ac:dyDescent="0.25">
      <c r="A28" s="10"/>
    </row>
    <row r="29" spans="1:3" x14ac:dyDescent="0.25">
      <c r="A29" s="10"/>
    </row>
    <row r="30" spans="1:3" x14ac:dyDescent="0.25">
      <c r="A30" s="10"/>
    </row>
    <row r="31" spans="1:3" x14ac:dyDescent="0.25">
      <c r="A31" s="10"/>
    </row>
    <row r="32" spans="1:3" x14ac:dyDescent="0.25">
      <c r="A32" s="10"/>
    </row>
    <row r="33" spans="1:1" x14ac:dyDescent="0.25">
      <c r="A33" s="10"/>
    </row>
    <row r="34" spans="1:1" x14ac:dyDescent="0.25">
      <c r="A34" s="10"/>
    </row>
    <row r="35" spans="1:1" x14ac:dyDescent="0.25">
      <c r="A35" s="10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6"/>
  <sheetViews>
    <sheetView tabSelected="1" topLeftCell="A5" zoomScaleNormal="100" workbookViewId="0">
      <selection activeCell="H29" sqref="H29"/>
    </sheetView>
  </sheetViews>
  <sheetFormatPr defaultColWidth="8.7109375" defaultRowHeight="15" x14ac:dyDescent="0.25"/>
  <cols>
    <col min="1" max="1" width="30" customWidth="1"/>
    <col min="2" max="4" width="18" customWidth="1"/>
  </cols>
  <sheetData>
    <row r="1" spans="1:4" ht="18" x14ac:dyDescent="0.25">
      <c r="A1" s="5" t="s">
        <v>132</v>
      </c>
    </row>
    <row r="2" spans="1:4" x14ac:dyDescent="0.25">
      <c r="A2" s="10" t="s">
        <v>133</v>
      </c>
    </row>
    <row r="4" spans="1:4" x14ac:dyDescent="0.25">
      <c r="A4" s="11" t="s">
        <v>134</v>
      </c>
    </row>
    <row r="5" spans="1:4" ht="30" x14ac:dyDescent="0.25">
      <c r="A5" s="12" t="s">
        <v>135</v>
      </c>
      <c r="B5" s="12" t="s">
        <v>136</v>
      </c>
      <c r="C5" s="12" t="s">
        <v>87</v>
      </c>
      <c r="D5" s="12" t="s">
        <v>115</v>
      </c>
    </row>
    <row r="6" spans="1:4" x14ac:dyDescent="0.25">
      <c r="A6" s="13" t="s">
        <v>137</v>
      </c>
      <c r="B6" s="7" t="s">
        <v>138</v>
      </c>
      <c r="C6" s="9">
        <f>SUMIFS('Raw Data'!$E$5:$E$64,'Raw Data'!$B$5:$B$64,"Furniture")+SUMIFS('Raw Data'!$E$5:$E$64,'Raw Data'!$B$5:$B$64,"Technology")</f>
        <v>14292.3267</v>
      </c>
      <c r="D6" s="9">
        <f>SUMIFS('Raw Data'!$F$5:$F$64,'Raw Data'!$B$5:$B$64,"Furniture")+SUMIFS('Raw Data'!$F$5:$F$64,'Raw Data'!$B$5:$B$64,"Technology")</f>
        <v>-913.81770000000051</v>
      </c>
    </row>
    <row r="7" spans="1:4" x14ac:dyDescent="0.25">
      <c r="A7" s="13" t="s">
        <v>139</v>
      </c>
      <c r="B7" s="7" t="s">
        <v>23</v>
      </c>
      <c r="C7" s="9">
        <f>SUMIFS('Raw Data'!$E$5:$E$64,'Raw Data'!$B$5:$B$64,"Office Supplies")</f>
        <v>2568.3619999999996</v>
      </c>
      <c r="D7" s="9">
        <f>SUMIFS('Raw Data'!$F$5:$F$64,'Raw Data'!$B$5:$B$64,"Office Supplies")</f>
        <v>331.43770000000001</v>
      </c>
    </row>
    <row r="9" spans="1:4" x14ac:dyDescent="0.25">
      <c r="A9" s="11" t="s">
        <v>140</v>
      </c>
    </row>
    <row r="10" spans="1:4" ht="27.75" customHeight="1" x14ac:dyDescent="0.25">
      <c r="A10" s="12" t="s">
        <v>11</v>
      </c>
      <c r="B10" s="12" t="s">
        <v>141</v>
      </c>
      <c r="C10" s="12" t="s">
        <v>142</v>
      </c>
      <c r="D10" s="12" t="s">
        <v>143</v>
      </c>
    </row>
    <row r="11" spans="1:4" x14ac:dyDescent="0.25">
      <c r="A11" s="7" t="s">
        <v>18</v>
      </c>
      <c r="B11" s="9">
        <v>261.95999999999998</v>
      </c>
      <c r="C11" s="9">
        <v>261.95999999999998</v>
      </c>
      <c r="D11" s="9">
        <v>261.95999999999998</v>
      </c>
    </row>
    <row r="12" spans="1:4" x14ac:dyDescent="0.25">
      <c r="A12" s="7" t="s">
        <v>21</v>
      </c>
      <c r="B12" s="9">
        <v>731.94</v>
      </c>
      <c r="C12" s="9">
        <v>731.94</v>
      </c>
      <c r="D12" s="9">
        <v>731.94</v>
      </c>
    </row>
    <row r="13" spans="1:4" x14ac:dyDescent="0.25">
      <c r="A13" s="7" t="s">
        <v>22</v>
      </c>
      <c r="B13" s="9">
        <v>14.62</v>
      </c>
      <c r="C13" s="9">
        <v>14.62</v>
      </c>
      <c r="D13" s="9">
        <v>14.62</v>
      </c>
    </row>
    <row r="14" spans="1:4" x14ac:dyDescent="0.25">
      <c r="A14" s="7" t="s">
        <v>25</v>
      </c>
      <c r="B14" s="9">
        <v>957.57749999999999</v>
      </c>
      <c r="C14" s="9">
        <v>957.57749999999999</v>
      </c>
      <c r="D14" s="9">
        <v>957.57749999999999</v>
      </c>
    </row>
    <row r="15" spans="1:4" x14ac:dyDescent="0.25">
      <c r="A15" s="7" t="s">
        <v>26</v>
      </c>
      <c r="B15" s="9">
        <v>22.367999999999999</v>
      </c>
      <c r="C15" s="9">
        <v>22.367999999999999</v>
      </c>
      <c r="D15" s="9">
        <v>22.367999999999999</v>
      </c>
    </row>
    <row r="16" spans="1:4" x14ac:dyDescent="0.25">
      <c r="A16" s="7" t="s">
        <v>27</v>
      </c>
      <c r="B16" s="9">
        <v>48.86</v>
      </c>
      <c r="C16" s="9">
        <v>48.86</v>
      </c>
      <c r="D16" s="9">
        <v>48.86</v>
      </c>
    </row>
    <row r="17" spans="1:4" x14ac:dyDescent="0.25">
      <c r="A17" s="7" t="s">
        <v>28</v>
      </c>
      <c r="B17" s="9">
        <v>7.28</v>
      </c>
      <c r="C17" s="9">
        <v>7.28</v>
      </c>
      <c r="D17" s="9">
        <v>7.28</v>
      </c>
    </row>
    <row r="18" spans="1:4" x14ac:dyDescent="0.25">
      <c r="A18" s="7" t="s">
        <v>29</v>
      </c>
      <c r="B18" s="9">
        <v>907.15200000000004</v>
      </c>
      <c r="C18" s="9">
        <v>907.15200000000004</v>
      </c>
      <c r="D18" s="9">
        <v>907.15200000000004</v>
      </c>
    </row>
    <row r="19" spans="1:4" x14ac:dyDescent="0.25">
      <c r="A19" s="7" t="s">
        <v>31</v>
      </c>
      <c r="B19" s="9">
        <v>18.504000000000001</v>
      </c>
      <c r="C19" s="9">
        <v>18.504000000000001</v>
      </c>
      <c r="D19" s="9">
        <v>18.504000000000001</v>
      </c>
    </row>
    <row r="20" spans="1:4" x14ac:dyDescent="0.25">
      <c r="A20" s="7" t="s">
        <v>32</v>
      </c>
      <c r="B20" s="9">
        <v>114.9</v>
      </c>
      <c r="C20" s="9">
        <v>114.9</v>
      </c>
      <c r="D20" s="9">
        <v>114.9</v>
      </c>
    </row>
    <row r="21" spans="1:4" x14ac:dyDescent="0.25">
      <c r="A21" s="7" t="s">
        <v>33</v>
      </c>
      <c r="B21" s="9">
        <v>1706.184</v>
      </c>
      <c r="C21" s="9">
        <v>1706.184</v>
      </c>
      <c r="D21" s="9">
        <v>1706.184</v>
      </c>
    </row>
    <row r="22" spans="1:4" x14ac:dyDescent="0.25">
      <c r="A22" s="7" t="s">
        <v>34</v>
      </c>
      <c r="B22" s="9">
        <v>911.42399999999998</v>
      </c>
      <c r="C22" s="9">
        <v>911.42399999999998</v>
      </c>
      <c r="D22" s="9">
        <v>911.42399999999998</v>
      </c>
    </row>
    <row r="24" spans="1:4" x14ac:dyDescent="0.25">
      <c r="A24" s="17"/>
    </row>
    <row r="25" spans="1:4" x14ac:dyDescent="0.25">
      <c r="A25" s="10"/>
    </row>
    <row r="26" spans="1:4" x14ac:dyDescent="0.25">
      <c r="A26" s="10"/>
    </row>
    <row r="27" spans="1:4" x14ac:dyDescent="0.25">
      <c r="A27" s="10"/>
    </row>
    <row r="28" spans="1:4" x14ac:dyDescent="0.25">
      <c r="A28" s="10"/>
    </row>
    <row r="29" spans="1:4" x14ac:dyDescent="0.25">
      <c r="A29" s="10"/>
    </row>
    <row r="30" spans="1:4" x14ac:dyDescent="0.25">
      <c r="A30" s="10"/>
    </row>
    <row r="31" spans="1:4" x14ac:dyDescent="0.25">
      <c r="A31" s="10"/>
    </row>
    <row r="32" spans="1:4" x14ac:dyDescent="0.25">
      <c r="A32" s="10"/>
    </row>
    <row r="33" spans="1:1" x14ac:dyDescent="0.25">
      <c r="A33" s="10"/>
    </row>
    <row r="34" spans="1:1" x14ac:dyDescent="0.25">
      <c r="A34" s="10"/>
    </row>
    <row r="35" spans="1:1" x14ac:dyDescent="0.25">
      <c r="A35" s="10"/>
    </row>
    <row r="36" spans="1:1" x14ac:dyDescent="0.25">
      <c r="A36" s="10"/>
    </row>
  </sheetData>
  <conditionalFormatting sqref="B11:B2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1:C22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{C449E36D-43E6-4980-B6D0-7F192BF0F0F9}</x14:id>
        </ext>
      </extLst>
    </cfRule>
  </conditionalFormatting>
  <conditionalFormatting sqref="D11:D22">
    <cfRule type="iconSet" priority="4">
      <iconSet>
        <cfvo type="percent" val="0"/>
        <cfvo type="percent" val="33"/>
        <cfvo type="percent" val="67"/>
      </iconSet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449E36D-43E6-4980-B6D0-7F192BF0F0F9}">
            <x14:dataBar axisPosition="none">
              <x14:cfvo type="min"/>
              <x14:cfvo type="max"/>
              <x14:negativeFillColor rgb="FF638EC6"/>
            </x14:dataBar>
          </x14:cfRule>
          <xm:sqref>C11:C22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Raw Data</vt:lpstr>
      <vt:lpstr>1. Getting Started</vt:lpstr>
      <vt:lpstr>2. Grouping &amp; Multi Tables</vt:lpstr>
      <vt:lpstr>3. Date &amp; Blank Grouping</vt:lpstr>
      <vt:lpstr>4. Custom Grouping &amp; 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HP</cp:lastModifiedBy>
  <cp:revision>0</cp:revision>
  <dcterms:created xsi:type="dcterms:W3CDTF">2026-09-24T02:57:36Z</dcterms:created>
  <dcterms:modified xsi:type="dcterms:W3CDTF">2026-10-02T06:40:57Z</dcterms:modified>
  <dc:language>en-US</dc:language>
</cp:coreProperties>
</file>